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Dashboard" sheetId="1" state="visible" r:id="rId1"/>
    <sheet xmlns:r="http://schemas.openxmlformats.org/officeDocument/2006/relationships" name="Inputs" sheetId="2" state="visible" r:id="rId2"/>
    <sheet xmlns:r="http://schemas.openxmlformats.org/officeDocument/2006/relationships" name="T12 Actuals" sheetId="3" state="visible" r:id="rId3"/>
    <sheet xmlns:r="http://schemas.openxmlformats.org/officeDocument/2006/relationships" name="Rent Roll" sheetId="4" state="visible" r:id="rId4"/>
    <sheet xmlns:r="http://schemas.openxmlformats.org/officeDocument/2006/relationships" name="Unit Mix" sheetId="5" state="visible" r:id="rId5"/>
    <sheet xmlns:r="http://schemas.openxmlformats.org/officeDocument/2006/relationships" name="Tax" sheetId="6" state="visible" r:id="rId6"/>
    <sheet xmlns:r="http://schemas.openxmlformats.org/officeDocument/2006/relationships" name="Reno Pace" sheetId="7" state="visible" r:id="rId7"/>
    <sheet xmlns:r="http://schemas.openxmlformats.org/officeDocument/2006/relationships" name="Pro Forma" sheetId="8" state="visible" r:id="rId8"/>
    <sheet xmlns:r="http://schemas.openxmlformats.org/officeDocument/2006/relationships" name="Debt &amp; Exit" sheetId="9" state="visible" r:id="rId9"/>
    <sheet xmlns:r="http://schemas.openxmlformats.org/officeDocument/2006/relationships" name="Exit Scenarios" sheetId="10" state="visible" r:id="rId10"/>
    <sheet xmlns:r="http://schemas.openxmlformats.org/officeDocument/2006/relationships" name="Max Price Solver" sheetId="11" state="visible" r:id="rId11"/>
    <sheet xmlns:r="http://schemas.openxmlformats.org/officeDocument/2006/relationships" name="Price Tool" sheetId="12" state="visible" r:id="rId12"/>
    <sheet xmlns:r="http://schemas.openxmlformats.org/officeDocument/2006/relationships" name="Checks" sheetId="13" state="visible" r:id="rId13"/>
    <sheet xmlns:r="http://schemas.openxmlformats.org/officeDocument/2006/relationships" name="Rent Comps" sheetId="14" state="visible" r:id="rId14"/>
    <sheet xmlns:r="http://schemas.openxmlformats.org/officeDocument/2006/relationships" name="Sale Comps" sheetId="15" state="visible" r:id="rId15"/>
  </sheets>
  <definedNames>
    <definedName name="AdditionalOtherIncome">Inputs!$B$49</definedName>
    <definedName name="Address">Inputs!$B$10</definedName>
    <definedName name="AssetManagementFeeOfEgi">Inputs!$B$28</definedName>
    <definedName name="BadDebt">Inputs!$B$24</definedName>
    <definedName name="CommonExteriorCapex">Inputs!$B$35</definedName>
    <definedName name="ExitCapRate">Inputs!$B$18</definedName>
    <definedName name="ExpenseGrowth">Inputs!$B$22</definedName>
    <definedName name="HoldPeriodYears">Inputs!$B$17</definedName>
    <definedName name="IncomeGrowth">Inputs!$B$21</definedName>
    <definedName name="InteriorRenovationCostUnit">Inputs!$B$34</definedName>
    <definedName name="IrrTarget">Inputs!$B$47</definedName>
    <definedName name="LoanInterestRate">Inputs!$B$16</definedName>
    <definedName name="Ltv">Inputs!$B$15</definedName>
    <definedName name="ManagementFeeOfEgi">Inputs!$B$27</definedName>
    <definedName name="MiscellaneousExpenseAnnual">Inputs!$B$37</definedName>
    <definedName name="OtherRentalDeduction">Inputs!$B$29</definedName>
    <definedName name="PremiumPerUnit">Inputs!$B$31</definedName>
    <definedName name="PriceOverride">Inputs!$B$6</definedName>
    <definedName name="PropertyName">Inputs!$B$9</definedName>
    <definedName name="PurchaseCapRate">Inputs!$B$14</definedName>
    <definedName name="RentRoll_FirstDataRow">'Rent Roll'!$A$23</definedName>
    <definedName name="RR_AsOf">'Rent Roll'!$B$6</definedName>
    <definedName name="RR_OfficialOccupancy">'Rent Roll'!$B$10</definedName>
    <definedName name="RR_OfficialOccupied">'Rent Roll'!$B$8</definedName>
    <definedName name="RR_OfficialUnits">'Rent Roll'!$B$7</definedName>
    <definedName name="RR_OfficialVacant">'Rent Roll'!$B$9</definedName>
    <definedName name="SiteAcres">Inputs!$B$12</definedName>
    <definedName name="StabilizedOccupancyTarget">Inputs!$B$26</definedName>
    <definedName name="T12_Controllable">'T12 Actuals'!$B$16</definedName>
    <definedName name="T12_EGI">'T12 Actuals'!$B$10</definedName>
    <definedName name="T12_GPR">'T12 Actuals'!$B$6</definedName>
    <definedName name="T12_Insurance">'T12 Actuals'!$B$19</definedName>
    <definedName name="T12_NOI">'T12 Actuals'!$B$23</definedName>
    <definedName name="T12_OpEx">'T12 Actuals'!$B$22</definedName>
    <definedName name="T12_OtherIncome">'T12 Actuals'!$B$9</definedName>
    <definedName name="T12_RawFirstRow">'T12 Actuals'!$A$30</definedName>
    <definedName name="T12_Taxes">'T12 Actuals'!$B$20</definedName>
    <definedName name="T12_Utilities">'T12 Actuals'!$B$17</definedName>
    <definedName name="Tax_Millage">Tax!$B$9</definedName>
    <definedName name="Tax_NonAdValorem">Tax!$B$10</definedName>
    <definedName name="Tax_PIN">Tax!$B$6</definedName>
    <definedName name="Tax_TaxableValue">Tax!$B$8</definedName>
    <definedName name="TaxGrowth">Inputs!$B$23</definedName>
    <definedName name="UnitMix_FirstDataRow">'Unit Mix'!$A$6</definedName>
    <definedName name="Units">Inputs!$B$13</definedName>
    <definedName name="UnitsRenovatedPerMonth">Inputs!$B$45</definedName>
    <definedName name="ValueAddUnits">Inputs!$B$30</definedName>
    <definedName name="YearBuilt">Inputs!$B$11</definedName>
    <definedName name="Tax_ReassessPct">Tax!$B$19</definedName>
  </definedNames>
  <calcPr calcId="191029" fullCalcOnLoad="1" iterateDelta="0.0001"/>
</workbook>
</file>

<file path=xl/styles.xml><?xml version="1.0" encoding="utf-8"?>
<styleSheet xmlns="http://schemas.openxmlformats.org/spreadsheetml/2006/main">
  <numFmts count="24">
    <numFmt numFmtId="164" formatCode="\$#,##0;[Red]\(\$#,##0\);\-"/>
    <numFmt numFmtId="165" formatCode="\$#,##0"/>
    <numFmt numFmtId="166" formatCode="0.0%"/>
    <numFmt numFmtId="167" formatCode="\$#,##0;\(\$#,##0\);&quot;-&quot;"/>
    <numFmt numFmtId="168" formatCode="#,##0;[Red]\(#,##0\);\-"/>
    <numFmt numFmtId="169" formatCode="0.0%;[Red]\(0.0%\);\-"/>
    <numFmt numFmtId="170" formatCode="0.0000"/>
    <numFmt numFmtId="171" formatCode="0.00\x"/>
    <numFmt numFmtId="172" formatCode="&quot;$&quot;#,##0"/>
    <numFmt numFmtId="173" formatCode="&quot;$&quot;#,##0;\(&quot;$&quot;#,##0\)"/>
    <numFmt numFmtId="174" formatCode="\$#,##0.00"/>
    <numFmt numFmtId="175" formatCode="&quot;$&quot;#,##0.0,,&quot;M&quot;"/>
    <numFmt numFmtId="176" formatCode="&quot;$&quot;#,##0,&quot;K&quot;"/>
    <numFmt numFmtId="177" formatCode="0.00&quot;x&quot;"/>
    <numFmt numFmtId="178" formatCode="&quot;$&quot;#,##0;;;@"/>
    <numFmt numFmtId="179" formatCode="0.0\x;[Red]\(0.0\x\);\-"/>
    <numFmt numFmtId="180" formatCode="yyyy-mm-dd"/>
    <numFmt numFmtId="181" formatCode="#,##0;(#,##0);&quot;-&quot;"/>
    <numFmt numFmtId="182" formatCode="$#,##0;($#,##0);&quot;-&quot;"/>
    <numFmt numFmtId="183" formatCode="#,##0.0;(#,##0.0);&quot;-&quot;"/>
    <numFmt numFmtId="184" formatCode="#,##0.0"/>
    <numFmt numFmtId="185" formatCode="$#,##0;[Red]($#,##0)"/>
    <numFmt numFmtId="186" formatCode="$#,##0"/>
    <numFmt numFmtId="187" formatCode="0.0%;[Red](0.0%)"/>
  </numFmts>
  <fonts count="41">
    <font>
      <name val="Carlito"/>
      <sz val="11"/>
    </font>
    <font>
      <name val="Carlito"/>
      <b val="1"/>
      <color rgb="FFFFFFFF"/>
      <sz val="15"/>
    </font>
    <font>
      <name val="Carlito"/>
      <b val="1"/>
      <color rgb="FFFFFFFF"/>
      <sz val="11"/>
    </font>
    <font>
      <name val="Carlito"/>
      <color rgb="FF000000"/>
      <sz val="11"/>
    </font>
    <font>
      <name val="Carlito"/>
      <b val="1"/>
      <color rgb="FFFFFFFF"/>
      <sz val="14"/>
    </font>
    <font>
      <name val="Carlito"/>
      <b val="1"/>
      <color rgb="FF000000"/>
      <sz val="11"/>
    </font>
    <font>
      <name val="Carlito"/>
      <b val="1"/>
      <sz val="11"/>
    </font>
    <font>
      <name val="Carlito"/>
      <i val="1"/>
      <sz val="9"/>
    </font>
    <font>
      <name val="Carlito"/>
      <i val="1"/>
      <sz val="11"/>
    </font>
    <font>
      <name val="Carlito"/>
      <color rgb="FF000000"/>
      <sz val="10"/>
    </font>
    <font>
      <name val="Carlito"/>
      <b val="1"/>
      <color rgb="FF1F4E78"/>
      <sz val="14"/>
    </font>
    <font>
      <name val="Carlito"/>
      <i val="1"/>
      <color rgb="FF595959"/>
      <sz val="11"/>
    </font>
    <font>
      <name val="Carlito"/>
      <b val="1"/>
      <color rgb="FFFFFFFF"/>
      <sz val="26"/>
    </font>
    <font>
      <name val="Carlito"/>
      <color rgb="FFFFFFFF"/>
      <sz val="11"/>
    </font>
    <font>
      <name val="Carlito"/>
      <b val="1"/>
      <color rgb="FF1F4E78"/>
      <sz val="20"/>
    </font>
    <font>
      <name val="Carlito"/>
      <b val="1"/>
      <color rgb="FF7F7F7F"/>
      <sz val="8"/>
    </font>
    <font>
      <name val="Carlito"/>
      <color rgb="FF7F7F7F"/>
      <sz val="11"/>
    </font>
    <font>
      <name val="Carlito"/>
      <color rgb="FF7F7F7F"/>
      <sz val="9"/>
    </font>
    <font>
      <name val="Carlito"/>
      <b val="1"/>
      <color rgb="FFFFFFFF"/>
      <sz val="13"/>
    </font>
    <font>
      <name val="Carlito"/>
      <b val="1"/>
      <i val="1"/>
      <sz val="11"/>
    </font>
    <font>
      <name val="Carlito"/>
      <b val="1"/>
      <i val="1"/>
      <color rgb="FF7F7F7F"/>
      <sz val="10"/>
    </font>
    <font>
      <name val="Carlito"/>
      <b val="1"/>
      <i val="1"/>
      <color rgb="FF000000"/>
      <sz val="11"/>
    </font>
    <font>
      <name val="Carlito"/>
      <b val="1"/>
      <color rgb="FF14532D"/>
      <sz val="20"/>
    </font>
    <font>
      <name val="Carlito"/>
      <b val="1"/>
      <color rgb="FF14532D"/>
      <sz val="14"/>
    </font>
    <font>
      <i val="1"/>
      <color rgb="FF6B645A"/>
      <sz val="9"/>
    </font>
    <font/>
    <font>
      <b val="1"/>
    </font>
    <font>
      <b val="1"/>
      <color rgb="FFFFFFFF"/>
    </font>
    <font>
      <b val="1"/>
      <color rgb="FFFFFFFF"/>
      <sz val="16"/>
    </font>
    <font>
      <b val="1"/>
      <sz val="14"/>
    </font>
    <font>
      <i val="1"/>
      <color rgb="FF6B645A"/>
    </font>
    <font>
      <color rgb="FFFFFFFF"/>
    </font>
    <font>
      <b val="1"/>
      <sz val="12"/>
    </font>
    <font>
      <sz val="11"/>
    </font>
    <font>
      <b val="1"/>
      <color rgb="00FFFFFF"/>
    </font>
    <font>
      <b val="1"/>
      <color rgb="00FFFFFF"/>
      <sz val="9"/>
    </font>
    <font>
      <i val="1"/>
      <color rgb="006B6B6B"/>
      <sz val="9"/>
    </font>
    <font>
      <b val="1"/>
      <color rgb="00FFFFFF"/>
      <sz val="12"/>
    </font>
    <font>
      <b val="1"/>
      <color rgb="001F4E78"/>
      <sz val="9"/>
    </font>
    <font>
      <b val="1"/>
      <color rgb="00FFFFFF"/>
      <sz val="11"/>
    </font>
    <font>
      <b val="1"/>
      <color rgb="001F4E78"/>
      <sz val="10"/>
    </font>
  </fonts>
  <fills count="40">
    <fill>
      <patternFill/>
    </fill>
    <fill>
      <patternFill patternType="gray125"/>
    </fill>
    <fill>
      <patternFill patternType="solid">
        <fgColor rgb="FFF4CCCC"/>
      </patternFill>
    </fill>
    <fill>
      <patternFill patternType="solid">
        <fgColor rgb="FFD9EAF7"/>
      </patternFill>
    </fill>
    <fill>
      <patternFill patternType="solid">
        <fgColor rgb="FFEAF4E3"/>
      </patternFill>
    </fill>
    <fill>
      <patternFill patternType="solid">
        <fgColor rgb="FFEAF2F8"/>
      </patternFill>
    </fill>
    <fill>
      <patternFill patternType="solid">
        <fgColor rgb="FFFCE4D6"/>
      </patternFill>
    </fill>
    <fill>
      <patternFill patternType="solid">
        <fgColor rgb="FFDDEED3"/>
      </patternFill>
    </fill>
    <fill>
      <patternFill patternType="solid">
        <fgColor rgb="FFF7F7F7"/>
      </patternFill>
    </fill>
    <fill>
      <patternFill patternType="solid">
        <fgColor rgb="FFF2F2F2"/>
      </patternFill>
    </fill>
    <fill>
      <patternFill patternType="solid">
        <fgColor rgb="FFE2F0D9"/>
      </patternFill>
    </fill>
    <fill>
      <patternFill patternType="solid">
        <fgColor rgb="FF0F243E"/>
      </patternFill>
    </fill>
    <fill>
      <patternFill patternType="solid">
        <fgColor rgb="FFEDEDED"/>
      </patternFill>
    </fill>
    <fill>
      <patternFill patternType="solid">
        <fgColor rgb="FFFFFFFF"/>
      </patternFill>
    </fill>
    <fill>
      <patternFill patternType="solid">
        <fgColor rgb="FF1F4E78"/>
      </patternFill>
    </fill>
    <fill>
      <patternFill patternType="solid">
        <fgColor rgb="FFDDEBF7"/>
      </patternFill>
    </fill>
    <fill>
      <patternFill patternType="solid">
        <fgColor rgb="FFFFF2CC"/>
      </patternFill>
    </fill>
    <fill>
      <patternFill patternType="solid">
        <fgColor rgb="FFDDEBF7"/>
        <bgColor indexed="64"/>
      </patternFill>
    </fill>
    <fill>
      <patternFill patternType="solid">
        <fgColor rgb="FFFFF2CC"/>
        <bgColor indexed="64"/>
      </patternFill>
    </fill>
    <fill>
      <patternFill patternType="solid">
        <fgColor rgb="FF1F4E78"/>
        <bgColor indexed="64"/>
      </patternFill>
    </fill>
    <fill>
      <patternFill patternType="solid">
        <fgColor rgb="FF2E5F8F"/>
        <bgColor indexed="64"/>
      </patternFill>
    </fill>
    <fill>
      <patternFill patternType="solid">
        <fgColor rgb="FFF0F5FA"/>
        <bgColor indexed="64"/>
      </patternFill>
    </fill>
    <fill>
      <patternFill patternType="solid">
        <fgColor rgb="FFD9E2EC"/>
        <bgColor indexed="64"/>
      </patternFill>
    </fill>
    <fill>
      <patternFill patternType="solid">
        <fgColor rgb="FFFCE4D6"/>
        <bgColor indexed="64"/>
      </patternFill>
    </fill>
    <fill>
      <patternFill patternType="solid">
        <fgColor rgb="FFE2F0D9"/>
        <bgColor indexed="64"/>
      </patternFill>
    </fill>
    <fill>
      <patternFill patternType="solid">
        <fgColor rgb="FFFFFF99"/>
        <bgColor indexed="64"/>
      </patternFill>
    </fill>
    <fill>
      <patternFill patternType="solid">
        <fgColor rgb="FF14532D"/>
      </patternFill>
    </fill>
    <fill>
      <patternFill patternType="solid">
        <fgColor rgb="FF2F7D5B"/>
      </patternFill>
    </fill>
    <fill>
      <patternFill patternType="solid">
        <fgColor rgb="FFF6F3EC"/>
      </patternFill>
    </fill>
    <fill>
      <patternFill patternType="solid">
        <fgColor rgb="FFE6E1D6"/>
      </patternFill>
    </fill>
    <fill>
      <patternFill patternType="solid">
        <fgColor rgb="FF14342A"/>
      </patternFill>
    </fill>
    <fill>
      <patternFill patternType="solid">
        <fgColor rgb="FFFAF8F3"/>
      </patternFill>
    </fill>
    <fill>
      <patternFill patternType="solid">
        <fgColor rgb="FFF7EDEC"/>
      </patternFill>
    </fill>
    <fill>
      <patternFill patternType="solid">
        <fgColor rgb="FFEAF1EA"/>
      </patternFill>
    </fill>
    <fill>
      <patternFill patternType="solid">
        <fgColor rgb="FFFFF4D6"/>
      </patternFill>
    </fill>
    <fill>
      <patternFill patternType="solid">
        <fgColor rgb="FFF1F5F1"/>
      </patternFill>
    </fill>
    <fill>
      <patternFill patternType="solid">
        <fgColor rgb="FF8C2020"/>
      </patternFill>
    </fill>
    <fill>
      <patternFill patternType="solid">
        <fgColor rgb="001F4E78"/>
      </patternFill>
    </fill>
    <fill>
      <patternFill patternType="solid">
        <fgColor rgb="00F0F5FA"/>
      </patternFill>
    </fill>
    <fill>
      <patternFill patternType="solid">
        <fgColor rgb="00DCE6F1"/>
      </patternFill>
    </fill>
  </fills>
  <borders count="49">
    <border>
      <left/>
      <right/>
      <top/>
      <bottom/>
      <diagonal/>
    </border>
    <border>
      <left style="thin">
        <color rgb="FFD9E2F3"/>
      </left>
      <right style="thin">
        <color rgb="FFD9E2F3"/>
      </right>
      <top style="thin">
        <color rgb="FFD9E2F3"/>
      </top>
      <bottom style="thin">
        <color rgb="FFD9E2F3"/>
      </bottom>
      <diagonal/>
    </border>
    <border>
      <left style="thin">
        <color rgb="FFD9D9D9"/>
      </left>
      <right style="thin">
        <color rgb="FFD9D9D9"/>
      </right>
      <top style="thin">
        <color rgb="FFD9D9D9"/>
      </top>
      <bottom style="thin">
        <color rgb="FFD9D9D9"/>
      </bottom>
      <diagonal/>
    </border>
    <border>
      <left style="thin">
        <color rgb="FFD9EAD3"/>
      </left>
      <right style="thin">
        <color rgb="FFD9EAD3"/>
      </right>
      <top style="thin">
        <color rgb="FFD9EAD3"/>
      </top>
      <bottom style="thin">
        <color rgb="FFD9EAD3"/>
      </bottom>
      <diagonal/>
    </border>
    <border>
      <left style="thin">
        <color rgb="FFBDD7EE"/>
      </left>
      <right style="thin">
        <color rgb="FFBDD7EE"/>
      </right>
      <top style="thin">
        <color rgb="FFBDD7EE"/>
      </top>
      <bottom style="thin">
        <color rgb="FFBDD7EE"/>
      </bottom>
      <diagonal/>
    </border>
    <border>
      <left style="thin">
        <color rgb="FFEAD999"/>
      </left>
      <right style="thin">
        <color rgb="FFEAD999"/>
      </right>
      <top style="thin">
        <color rgb="FFEAD999"/>
      </top>
      <bottom style="thin">
        <color rgb="FFEAD999"/>
      </bottom>
      <diagonal/>
    </border>
    <border>
      <left style="thin">
        <color rgb="FFEA9999"/>
      </left>
      <right style="thin">
        <color rgb="FFEA9999"/>
      </right>
      <top style="thin">
        <color rgb="FFEA9999"/>
      </top>
      <bottom style="thin">
        <color rgb="FFEA999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EAD3"/>
      </left>
      <right style="thin">
        <color rgb="FFD9EAD3"/>
      </right>
      <top style="thin">
        <color rgb="FFD9EAD3"/>
      </top>
      <bottom/>
      <diagonal/>
    </border>
    <border>
      <left style="thin">
        <color rgb="FFBFBFBF"/>
      </left>
      <right style="thin">
        <color rgb="FFBFBFBF"/>
      </right>
      <top style="thin">
        <color rgb="FFBFBFBF"/>
      </top>
      <bottom style="thin">
        <color rgb="FFBFBFBF"/>
      </bottom>
      <diagonal/>
    </border>
    <border>
      <left style="thin">
        <color rgb="FFD9EAD3"/>
      </left>
      <right style="thin">
        <color rgb="FFDDEBF7"/>
      </right>
      <top style="thin">
        <color rgb="FFEAD999"/>
      </top>
      <bottom style="thin">
        <color rgb="FFDDEBF7"/>
      </bottom>
      <diagonal/>
    </border>
    <border>
      <left style="thin">
        <color rgb="FFDDEBF7"/>
      </left>
      <right style="thin">
        <color rgb="FFDDEBF7"/>
      </right>
      <top style="thin">
        <color rgb="FFEAD999"/>
      </top>
      <bottom style="thin">
        <color rgb="FFDDEBF7"/>
      </bottom>
      <diagonal/>
    </border>
    <border>
      <left style="thin">
        <color rgb="FFD9EAD3"/>
      </left>
      <right style="thin">
        <color rgb="FFDDEBF7"/>
      </right>
      <top style="thin">
        <color rgb="FFDDEBF7"/>
      </top>
      <bottom style="thin">
        <color rgb="FFDDEBF7"/>
      </bottom>
      <diagonal/>
    </border>
    <border>
      <left style="thin">
        <color rgb="FFDDEBF7"/>
      </left>
      <right style="thin">
        <color rgb="FFDDEBF7"/>
      </right>
      <top style="thin">
        <color rgb="FFDDEBF7"/>
      </top>
      <bottom style="thin">
        <color rgb="FFDDEBF7"/>
      </bottom>
      <diagonal/>
    </border>
    <border>
      <left style="thin">
        <color rgb="FFF4B183"/>
      </left>
      <right style="thin">
        <color rgb="FFF4B183"/>
      </right>
      <top style="thin">
        <color rgb="FFF4B183"/>
      </top>
      <bottom style="thin">
        <color rgb="FFF4B183"/>
      </bottom>
      <diagonal/>
    </border>
    <border>
      <left style="thin">
        <color rgb="FFF4B183"/>
      </left>
      <right style="thin">
        <color rgb="FFF4B183"/>
      </right>
      <top style="thin">
        <color rgb="FFF4B183"/>
      </top>
      <bottom style="thin">
        <color rgb="FFD9EAD3"/>
      </bottom>
      <diagonal/>
    </border>
    <border>
      <left style="thin">
        <color rgb="FFD9EAD3"/>
      </left>
      <right style="thin">
        <color rgb="FFD9EAD3"/>
      </right>
      <top style="thin">
        <color rgb="FFDDEBF7"/>
      </top>
      <bottom style="thin">
        <color rgb="FFD9EAD3"/>
      </bottom>
      <diagonal/>
    </border>
    <border>
      <left style="thin">
        <color rgb="FFD9EAD3"/>
      </left>
      <right style="thin">
        <color rgb="FFD9EAD3"/>
      </right>
      <top style="thin">
        <color rgb="FFD9EAD3"/>
      </top>
      <bottom style="thin">
        <color rgb="FFDDEBF7"/>
      </bottom>
      <diagonal/>
    </border>
    <border>
      <left style="thin">
        <color rgb="FFD9D9D9"/>
      </left>
      <right style="thin">
        <color rgb="FFE6E6E6"/>
      </right>
      <top style="thin">
        <color rgb="FFD9D9D9"/>
      </top>
      <bottom style="thin">
        <color rgb="FFE6E6E6"/>
      </bottom>
      <diagonal/>
    </border>
    <border>
      <left style="thin">
        <color rgb="FFE6E6E6"/>
      </left>
      <right style="thin">
        <color rgb="FFE6E6E6"/>
      </right>
      <top style="thin">
        <color rgb="FFD9D9D9"/>
      </top>
      <bottom style="thin">
        <color rgb="FFE6E6E6"/>
      </bottom>
      <diagonal/>
    </border>
    <border>
      <left style="thin">
        <color rgb="FFE6E6E6"/>
      </left>
      <right style="thin">
        <color rgb="FFD9D9D9"/>
      </right>
      <top style="thin">
        <color rgb="FFD9D9D9"/>
      </top>
      <bottom style="thin">
        <color rgb="FFE6E6E6"/>
      </bottom>
      <diagonal/>
    </border>
    <border>
      <left style="thin">
        <color rgb="FFD9D9D9"/>
      </left>
      <right style="thin">
        <color rgb="FFE6E6E6"/>
      </right>
      <top style="thin">
        <color rgb="FFE6E6E6"/>
      </top>
      <bottom style="thin">
        <color rgb="FFE6E6E6"/>
      </bottom>
      <diagonal/>
    </border>
    <border>
      <left style="thin">
        <color rgb="FFE6E6E6"/>
      </left>
      <right style="thin">
        <color rgb="FFE6E6E6"/>
      </right>
      <top style="thin">
        <color rgb="FFE6E6E6"/>
      </top>
      <bottom style="thin">
        <color rgb="FFE6E6E6"/>
      </bottom>
      <diagonal/>
    </border>
    <border>
      <left style="thin">
        <color rgb="FFE6E6E6"/>
      </left>
      <right style="thin">
        <color rgb="FFD9D9D9"/>
      </right>
      <top style="thin">
        <color rgb="FFE6E6E6"/>
      </top>
      <bottom style="thin">
        <color rgb="FFE6E6E6"/>
      </bottom>
      <diagonal/>
    </border>
    <border>
      <left style="thin">
        <color rgb="FFD9D9D9"/>
      </left>
      <right style="thin">
        <color rgb="FFE6E6E6"/>
      </right>
      <top style="thin">
        <color rgb="FFE6E6E6"/>
      </top>
      <bottom style="thin">
        <color rgb="FFD9D9D9"/>
      </bottom>
      <diagonal/>
    </border>
    <border>
      <left style="thin">
        <color rgb="FFD9D9D9"/>
      </left>
      <right style="thin">
        <color rgb="FFD9D9D9"/>
      </right>
      <top style="thin">
        <color rgb="FFE6E6E6"/>
      </top>
      <bottom style="thin">
        <color rgb="FFE6E6E6"/>
      </bottom>
      <diagonal/>
    </border>
    <border>
      <left style="thin">
        <color rgb="FFD9D9D9"/>
      </left>
      <right style="thin">
        <color rgb="FFD9D9D9"/>
      </right>
      <top style="thin">
        <color rgb="FFE6E6E6"/>
      </top>
      <bottom style="thin">
        <color rgb="FFD9D9D9"/>
      </bottom>
      <diagonal/>
    </border>
    <border>
      <left/>
      <right/>
      <top/>
      <bottom/>
      <diagonal/>
    </border>
    <border>
      <left style="thin">
        <color rgb="FFFCE4D6"/>
      </left>
      <right style="thin">
        <color rgb="FFFCE4D6"/>
      </right>
      <top style="thin">
        <color rgb="FFFCE4D6"/>
      </top>
      <bottom style="thin">
        <color rgb="FFFCE4D6"/>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style="thin">
        <color rgb="FFD9D9D9"/>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rgb="FFD9E2EC"/>
      </top>
      <bottom/>
      <diagonal/>
    </border>
    <border>
      <left/>
      <right/>
      <top style="thin">
        <color rgb="FFD9E2EC"/>
      </top>
      <bottom style="thin">
        <color rgb="FFD9E2EC"/>
      </bottom>
      <diagonal/>
    </border>
    <border>
      <left style="thin">
        <color rgb="FFD9D9D9"/>
      </left>
      <right style="thin">
        <color rgb="FFD9D9D9"/>
      </right>
      <top style="thin">
        <color rgb="FFEAD999"/>
      </top>
      <bottom/>
      <diagonal/>
    </border>
    <border>
      <left style="thin">
        <color rgb="FFD9EAD3"/>
      </left>
      <right/>
      <top/>
      <bottom/>
      <diagonal/>
    </border>
    <border>
      <left/>
      <right/>
      <top style="thin">
        <color rgb="FFD9D9D9"/>
      </top>
      <bottom/>
      <diagonal/>
    </border>
    <border>
      <left/>
      <right style="thin">
        <color rgb="FFD9D9D9"/>
      </right>
      <top style="thin">
        <color rgb="FFD9D9D9"/>
      </top>
      <bottom/>
      <diagonal/>
    </border>
    <border>
      <left/>
      <right/>
      <top style="thin">
        <color rgb="FFD9E2F3"/>
      </top>
      <bottom/>
      <diagonal/>
    </border>
    <border>
      <left/>
      <right style="thin">
        <color rgb="FFD9E2F3"/>
      </right>
      <top style="thin">
        <color rgb="FFD9E2F3"/>
      </top>
      <bottom/>
      <diagonal/>
    </border>
    <border>
      <left style="thin">
        <color rgb="FF9DB89D"/>
      </left>
      <right style="thin">
        <color rgb="FF9DB89D"/>
      </right>
      <top style="thin">
        <color rgb="FF9DB89D"/>
      </top>
      <bottom style="thin">
        <color rgb="FF9DB89D"/>
      </bottom>
    </border>
    <border>
      <left style="thin">
        <color rgb="FFB98A2E"/>
      </left>
      <right style="thin">
        <color rgb="FFB98A2E"/>
      </right>
      <top style="thin">
        <color rgb="FFB98A2E"/>
      </top>
      <bottom style="thin">
        <color rgb="FFB98A2E"/>
      </bottom>
    </border>
    <border>
      <top style="thin">
        <color rgb="FF14532D"/>
      </top>
      <bottom style="hair">
        <color rgb="FF14532D"/>
      </bottom>
    </border>
    <border>
      <bottom style="hair">
        <color rgb="FFE6E1D6"/>
      </bottom>
    </border>
    <border>
      <left style="medium">
        <color rgb="FFB98A2E"/>
      </left>
      <right style="medium">
        <color rgb="FFB98A2E"/>
      </right>
      <top style="medium">
        <color rgb="FFB98A2E"/>
      </top>
      <bottom style="medium">
        <color rgb="FFB98A2E"/>
      </bottom>
    </border>
    <border>
      <left style="thin">
        <color rgb="00D9D9D9"/>
      </left>
      <right style="thin">
        <color rgb="00D9D9D9"/>
      </right>
      <top style="thin">
        <color rgb="00D9D9D9"/>
      </top>
      <bottom style="thin">
        <color rgb="00D9D9D9"/>
      </bottom>
    </border>
  </borders>
  <cellStyleXfs count="1">
    <xf numFmtId="0" fontId="0" fillId="0" borderId="28"/>
  </cellStyleXfs>
  <cellXfs count="499">
    <xf numFmtId="0" fontId="0" fillId="0" borderId="0" pivotButton="0" quotePrefix="0" xfId="0"/>
    <xf numFmtId="0" fontId="0" fillId="2" borderId="6" applyAlignment="1" pivotButton="0" quotePrefix="0" xfId="0">
      <alignment vertical="top" wrapText="1"/>
    </xf>
    <xf numFmtId="0" fontId="5" fillId="3" borderId="10" applyAlignment="1" pivotButton="0" quotePrefix="0" xfId="0">
      <alignment horizontal="center" vertical="center" wrapText="1"/>
    </xf>
    <xf numFmtId="0" fontId="3" fillId="4" borderId="3" applyAlignment="1" pivotButton="0" quotePrefix="0" xfId="0">
      <alignment vertical="top" wrapText="1"/>
    </xf>
    <xf numFmtId="0" fontId="3" fillId="5" borderId="11" applyAlignment="1" pivotButton="0" quotePrefix="0" xfId="0">
      <alignment vertical="top" wrapText="1"/>
    </xf>
    <xf numFmtId="0" fontId="3" fillId="5" borderId="12" applyAlignment="1" pivotButton="0" quotePrefix="0" xfId="0">
      <alignment vertical="top" wrapText="1"/>
    </xf>
    <xf numFmtId="0" fontId="3" fillId="5" borderId="13" applyAlignment="1" pivotButton="0" quotePrefix="0" xfId="0">
      <alignment vertical="top" wrapText="1"/>
    </xf>
    <xf numFmtId="0" fontId="3" fillId="5" borderId="14" applyAlignment="1" pivotButton="0" quotePrefix="0" xfId="0">
      <alignment vertical="top" wrapText="1"/>
    </xf>
    <xf numFmtId="0" fontId="3" fillId="6" borderId="15" applyAlignment="1" pivotButton="0" quotePrefix="0" xfId="0">
      <alignment vertical="top" wrapText="1"/>
    </xf>
    <xf numFmtId="0" fontId="5" fillId="7" borderId="9" applyAlignment="1" pivotButton="0" quotePrefix="0" xfId="0">
      <alignment vertical="top" wrapText="1"/>
    </xf>
    <xf numFmtId="0" fontId="5" fillId="7" borderId="17" applyAlignment="1" pivotButton="0" quotePrefix="0" xfId="0">
      <alignment vertical="top" wrapText="1"/>
    </xf>
    <xf numFmtId="0" fontId="5" fillId="7" borderId="18" applyAlignment="1" pivotButton="0" quotePrefix="0" xfId="0">
      <alignment vertical="top" wrapText="1"/>
    </xf>
    <xf numFmtId="164" fontId="3" fillId="4" borderId="3" applyAlignment="1" pivotButton="0" quotePrefix="0" xfId="0">
      <alignment horizontal="right" vertical="top" wrapText="1"/>
    </xf>
    <xf numFmtId="164" fontId="5" fillId="7" borderId="9" applyAlignment="1" pivotButton="0" quotePrefix="0" xfId="0">
      <alignment horizontal="right" vertical="top" wrapText="1"/>
    </xf>
    <xf numFmtId="164" fontId="3" fillId="5" borderId="12" applyAlignment="1" pivotButton="0" quotePrefix="0" xfId="0">
      <alignment horizontal="right" vertical="top" wrapText="1"/>
    </xf>
    <xf numFmtId="164" fontId="3" fillId="5" borderId="14" applyAlignment="1" pivotButton="0" quotePrefix="0" xfId="0">
      <alignment horizontal="right" vertical="top" wrapText="1"/>
    </xf>
    <xf numFmtId="164" fontId="5" fillId="7" borderId="17" applyAlignment="1" pivotButton="0" quotePrefix="0" xfId="0">
      <alignment horizontal="right" vertical="top" wrapText="1"/>
    </xf>
    <xf numFmtId="164" fontId="5" fillId="7" borderId="18" applyAlignment="1" pivotButton="0" quotePrefix="0" xfId="0">
      <alignment horizontal="right" vertical="top" wrapText="1"/>
    </xf>
    <xf numFmtId="164" fontId="3" fillId="6" borderId="15" applyAlignment="1" pivotButton="0" quotePrefix="0" xfId="0">
      <alignment horizontal="right" vertical="top" wrapText="1"/>
    </xf>
    <xf numFmtId="164" fontId="3" fillId="6" borderId="16" applyAlignment="1" pivotButton="0" quotePrefix="0" xfId="0">
      <alignment horizontal="right" vertical="top" wrapText="1"/>
    </xf>
    <xf numFmtId="1" fontId="5" fillId="8" borderId="26" applyAlignment="1" pivotButton="0" quotePrefix="0" xfId="0">
      <alignment vertical="center"/>
    </xf>
    <xf numFmtId="0" fontId="5" fillId="8" borderId="26" applyAlignment="1" pivotButton="0" quotePrefix="0" xfId="0">
      <alignment vertical="center"/>
    </xf>
    <xf numFmtId="0" fontId="5" fillId="8" borderId="22" applyAlignment="1" pivotButton="0" quotePrefix="0" xfId="0">
      <alignment vertical="center"/>
    </xf>
    <xf numFmtId="1" fontId="5" fillId="8" borderId="27" applyAlignment="1" pivotButton="0" quotePrefix="0" xfId="0">
      <alignment vertical="center"/>
    </xf>
    <xf numFmtId="0" fontId="5" fillId="8" borderId="27" applyAlignment="1" pivotButton="0" quotePrefix="0" xfId="0">
      <alignment vertical="center"/>
    </xf>
    <xf numFmtId="0" fontId="5" fillId="8" borderId="25" applyAlignment="1" pivotButton="0" quotePrefix="0" xfId="0">
      <alignment vertical="center"/>
    </xf>
    <xf numFmtId="164" fontId="5" fillId="8" borderId="26" applyAlignment="1" pivotButton="0" quotePrefix="0" xfId="0">
      <alignment vertical="center"/>
    </xf>
    <xf numFmtId="164" fontId="5" fillId="8" borderId="27" applyAlignment="1" pivotButton="0" quotePrefix="0" xfId="0">
      <alignment vertical="center"/>
    </xf>
    <xf numFmtId="0" fontId="0" fillId="0" borderId="28" pivotButton="0" quotePrefix="0" xfId="0"/>
    <xf numFmtId="0" fontId="2" fillId="0" borderId="28" pivotButton="0" quotePrefix="0" xfId="0"/>
    <xf numFmtId="1" fontId="0" fillId="0" borderId="28" pivotButton="0" quotePrefix="0" xfId="0"/>
    <xf numFmtId="165" fontId="0" fillId="0" borderId="28" pivotButton="0" quotePrefix="0" xfId="0"/>
    <xf numFmtId="0" fontId="0" fillId="9" borderId="2" applyAlignment="1" pivotButton="0" quotePrefix="0" xfId="0">
      <alignment vertical="top" wrapText="1"/>
    </xf>
    <xf numFmtId="166" fontId="0" fillId="9" borderId="2" applyAlignment="1" pivotButton="0" quotePrefix="0" xfId="0">
      <alignment vertical="top" wrapText="1"/>
    </xf>
    <xf numFmtId="0" fontId="0" fillId="9" borderId="2" applyAlignment="1" pivotButton="0" quotePrefix="0" xfId="0">
      <alignment wrapText="1"/>
    </xf>
    <xf numFmtId="164" fontId="0" fillId="10" borderId="3" applyAlignment="1" pivotButton="0" quotePrefix="0" xfId="0">
      <alignment vertical="top" wrapText="1"/>
    </xf>
    <xf numFmtId="0" fontId="6" fillId="9" borderId="2" applyAlignment="1" pivotButton="0" quotePrefix="0" xfId="0">
      <alignment wrapText="1"/>
    </xf>
    <xf numFmtId="164" fontId="6" fillId="9" borderId="2" applyAlignment="1" pivotButton="0" quotePrefix="0" xfId="0">
      <alignment horizontal="center" wrapText="1"/>
    </xf>
    <xf numFmtId="164" fontId="0" fillId="9" borderId="2" applyAlignment="1" pivotButton="0" quotePrefix="0" xfId="0">
      <alignment wrapText="1"/>
    </xf>
    <xf numFmtId="0" fontId="0" fillId="0" borderId="32" pivotButton="0" quotePrefix="0" xfId="0"/>
    <xf numFmtId="10" fontId="0" fillId="15" borderId="32" pivotButton="0" quotePrefix="0" xfId="0"/>
    <xf numFmtId="0" fontId="6" fillId="0" borderId="32" pivotButton="0" quotePrefix="0" xfId="0"/>
    <xf numFmtId="167" fontId="6" fillId="16" borderId="32" pivotButton="0" quotePrefix="0" xfId="0"/>
    <xf numFmtId="167" fontId="0" fillId="16" borderId="32" pivotButton="0" quotePrefix="0" xfId="0"/>
    <xf numFmtId="10" fontId="6" fillId="16" borderId="32" pivotButton="0" quotePrefix="0" xfId="0"/>
    <xf numFmtId="10" fontId="0" fillId="16" borderId="32" pivotButton="0" quotePrefix="0" xfId="0"/>
    <xf numFmtId="0" fontId="0" fillId="16" borderId="32" applyAlignment="1" pivotButton="0" quotePrefix="0" xfId="0">
      <alignment horizontal="center"/>
    </xf>
    <xf numFmtId="1" fontId="6" fillId="16" borderId="32" pivotButton="0" quotePrefix="0" xfId="0"/>
    <xf numFmtId="166" fontId="6" fillId="16" borderId="32" pivotButton="0" quotePrefix="0" xfId="0"/>
    <xf numFmtId="0" fontId="2" fillId="14" borderId="1" applyAlignment="1" pivotButton="0" quotePrefix="0" xfId="0">
      <alignment horizontal="center" vertical="center" wrapText="1"/>
    </xf>
    <xf numFmtId="1" fontId="0" fillId="10" borderId="3" applyAlignment="1" pivotButton="0" quotePrefix="0" xfId="0">
      <alignment vertical="top" wrapText="1"/>
    </xf>
    <xf numFmtId="165" fontId="0" fillId="10" borderId="3" applyAlignment="1" pivotButton="0" quotePrefix="0" xfId="0">
      <alignment vertical="top" wrapText="1"/>
    </xf>
    <xf numFmtId="165" fontId="0" fillId="16" borderId="5" applyAlignment="1" pivotButton="0" quotePrefix="0" xfId="0">
      <alignment vertical="top" wrapText="1"/>
    </xf>
    <xf numFmtId="166" fontId="0" fillId="16" borderId="5" applyAlignment="1" pivotButton="0" quotePrefix="0" xfId="0">
      <alignment vertical="top" wrapText="1"/>
    </xf>
    <xf numFmtId="166" fontId="0" fillId="10" borderId="3" applyAlignment="1" pivotButton="0" quotePrefix="0" xfId="0">
      <alignment vertical="top" wrapText="1"/>
    </xf>
    <xf numFmtId="0" fontId="0" fillId="10" borderId="3" applyAlignment="1" pivotButton="0" quotePrefix="0" xfId="0">
      <alignment vertical="top" wrapText="1"/>
    </xf>
    <xf numFmtId="0" fontId="0" fillId="15" borderId="4" applyAlignment="1" pivotButton="0" quotePrefix="0" xfId="0">
      <alignment vertical="top" wrapText="1"/>
    </xf>
    <xf numFmtId="0" fontId="0" fillId="16" borderId="5" applyAlignment="1" pivotButton="0" quotePrefix="0" xfId="0">
      <alignment vertical="top" wrapText="1"/>
    </xf>
    <xf numFmtId="0" fontId="2" fillId="14" borderId="1" pivotButton="0" quotePrefix="0" xfId="0"/>
    <xf numFmtId="0" fontId="6" fillId="0" borderId="28" pivotButton="0" quotePrefix="0" xfId="0"/>
    <xf numFmtId="166" fontId="0" fillId="15" borderId="4" applyAlignment="1" pivotButton="0" quotePrefix="0" xfId="0">
      <alignment vertical="top" wrapText="1"/>
    </xf>
    <xf numFmtId="168" fontId="0" fillId="15" borderId="4" applyAlignment="1" pivotButton="0" quotePrefix="0" xfId="0">
      <alignment vertical="top" wrapText="1"/>
    </xf>
    <xf numFmtId="169" fontId="0" fillId="15" borderId="4" applyAlignment="1" pivotButton="0" quotePrefix="0" xfId="0">
      <alignment vertical="top" wrapText="1"/>
    </xf>
    <xf numFmtId="168" fontId="0" fillId="10" borderId="3" applyAlignment="1" pivotButton="0" quotePrefix="0" xfId="0">
      <alignment vertical="top" wrapText="1"/>
    </xf>
    <xf numFmtId="165" fontId="0" fillId="15" borderId="4" applyAlignment="1" pivotButton="0" quotePrefix="0" xfId="0">
      <alignment vertical="top" wrapText="1"/>
    </xf>
    <xf numFmtId="0" fontId="2" fillId="14" borderId="28" pivotButton="0" quotePrefix="0" xfId="0"/>
    <xf numFmtId="166" fontId="0" fillId="15" borderId="28" pivotButton="0" quotePrefix="0" xfId="0"/>
    <xf numFmtId="168" fontId="0" fillId="15" borderId="28" pivotButton="0" quotePrefix="0" xfId="0"/>
    <xf numFmtId="1" fontId="0" fillId="15" borderId="28" pivotButton="0" quotePrefix="0" xfId="0"/>
    <xf numFmtId="0" fontId="2" fillId="14" borderId="10" applyAlignment="1" pivotButton="0" quotePrefix="0" xfId="0">
      <alignment horizontal="center" vertical="center" wrapText="1"/>
    </xf>
    <xf numFmtId="1" fontId="3" fillId="13" borderId="19" applyAlignment="1" pivotButton="0" quotePrefix="0" xfId="0">
      <alignment vertical="center"/>
    </xf>
    <xf numFmtId="0" fontId="3" fillId="13" borderId="20" applyAlignment="1" pivotButton="0" quotePrefix="0" xfId="0">
      <alignment vertical="center"/>
    </xf>
    <xf numFmtId="164" fontId="3" fillId="13" borderId="20" applyAlignment="1" pivotButton="0" quotePrefix="0" xfId="0">
      <alignment vertical="center"/>
    </xf>
    <xf numFmtId="0" fontId="3" fillId="13" borderId="21" applyAlignment="1" pivotButton="0" quotePrefix="0" xfId="0">
      <alignment vertical="center"/>
    </xf>
    <xf numFmtId="1" fontId="3" fillId="13" borderId="22" applyAlignment="1" pivotButton="0" quotePrefix="0" xfId="0">
      <alignment vertical="center"/>
    </xf>
    <xf numFmtId="0" fontId="3" fillId="13" borderId="23" applyAlignment="1" pivotButton="0" quotePrefix="0" xfId="0">
      <alignment vertical="center"/>
    </xf>
    <xf numFmtId="164" fontId="3" fillId="13" borderId="23" applyAlignment="1" pivotButton="0" quotePrefix="0" xfId="0">
      <alignment vertical="center"/>
    </xf>
    <xf numFmtId="0" fontId="3" fillId="13" borderId="24" applyAlignment="1" pivotButton="0" quotePrefix="0" xfId="0">
      <alignment vertical="center"/>
    </xf>
    <xf numFmtId="165" fontId="0" fillId="9" borderId="2" applyAlignment="1" pivotButton="0" quotePrefix="0" xfId="0">
      <alignment vertical="top" wrapText="1"/>
    </xf>
    <xf numFmtId="1" fontId="0" fillId="16" borderId="5" applyAlignment="1" pivotButton="0" quotePrefix="0" xfId="0">
      <alignment vertical="top" wrapText="1"/>
    </xf>
    <xf numFmtId="170" fontId="0" fillId="10" borderId="3" applyAlignment="1" pivotButton="0" quotePrefix="0" xfId="0">
      <alignment vertical="top" wrapText="1"/>
    </xf>
    <xf numFmtId="0" fontId="2" fillId="11" borderId="28" pivotButton="0" quotePrefix="0" xfId="0"/>
    <xf numFmtId="0" fontId="8" fillId="0" borderId="28" applyAlignment="1" pivotButton="0" quotePrefix="0" xfId="0">
      <alignment wrapText="1"/>
    </xf>
    <xf numFmtId="0" fontId="2" fillId="14" borderId="28" applyAlignment="1" pivotButton="0" quotePrefix="0" xfId="0">
      <alignment horizontal="center" vertical="center" wrapText="1"/>
    </xf>
    <xf numFmtId="0" fontId="2" fillId="14" borderId="28" applyAlignment="1" pivotButton="0" quotePrefix="0" xfId="0">
      <alignment horizontal="center" wrapText="1"/>
    </xf>
    <xf numFmtId="168" fontId="3" fillId="0" borderId="32" applyAlignment="1" pivotButton="0" quotePrefix="0" xfId="0">
      <alignment horizontal="center"/>
    </xf>
    <xf numFmtId="168" fontId="3" fillId="16" borderId="32" applyAlignment="1" pivotButton="0" quotePrefix="0" xfId="0">
      <alignment horizontal="center"/>
    </xf>
    <xf numFmtId="168" fontId="9" fillId="16" borderId="28" applyAlignment="1" pivotButton="0" quotePrefix="0" xfId="0">
      <alignment horizontal="center" vertical="center" wrapText="1"/>
    </xf>
    <xf numFmtId="164" fontId="3" fillId="16" borderId="28" applyAlignment="1" pivotButton="0" quotePrefix="0" xfId="0">
      <alignment horizontal="right"/>
    </xf>
    <xf numFmtId="168" fontId="3" fillId="16" borderId="28" applyAlignment="1" pivotButton="0" quotePrefix="0" xfId="0">
      <alignment horizontal="center"/>
    </xf>
    <xf numFmtId="164" fontId="3" fillId="16" borderId="32" applyAlignment="1" pivotButton="0" quotePrefix="0" xfId="0">
      <alignment horizontal="right"/>
    </xf>
    <xf numFmtId="164" fontId="0" fillId="16" borderId="5" applyAlignment="1" pivotButton="0" quotePrefix="0" xfId="0">
      <alignment vertical="top" wrapText="1"/>
    </xf>
    <xf numFmtId="169" fontId="0" fillId="16" borderId="5" applyAlignment="1" pivotButton="0" quotePrefix="0" xfId="0">
      <alignment vertical="top" wrapText="1"/>
    </xf>
    <xf numFmtId="165" fontId="6" fillId="16" borderId="28" pivotButton="0" quotePrefix="0" xfId="0"/>
    <xf numFmtId="171" fontId="0" fillId="16" borderId="5" applyAlignment="1" pivotButton="0" quotePrefix="0" xfId="0">
      <alignment vertical="top" wrapText="1"/>
    </xf>
    <xf numFmtId="169" fontId="0" fillId="16" borderId="29" applyAlignment="1" pivotButton="0" quotePrefix="0" xfId="0">
      <alignment vertical="top" wrapText="1"/>
    </xf>
    <xf numFmtId="169" fontId="0" fillId="16" borderId="29" applyAlignment="1" pivotButton="0" quotePrefix="0" xfId="0">
      <alignment wrapText="1"/>
    </xf>
    <xf numFmtId="0" fontId="0" fillId="0" borderId="28" applyAlignment="1" pivotButton="0" quotePrefix="0" xfId="0">
      <alignment wrapText="1"/>
    </xf>
    <xf numFmtId="164" fontId="0" fillId="16" borderId="1" pivotButton="0" quotePrefix="0" xfId="0"/>
    <xf numFmtId="0" fontId="10" fillId="0" borderId="28" pivotButton="0" quotePrefix="0" xfId="0"/>
    <xf numFmtId="0" fontId="2" fillId="14" borderId="28" applyAlignment="1" pivotButton="0" quotePrefix="0" xfId="0">
      <alignment horizontal="center"/>
    </xf>
    <xf numFmtId="0" fontId="0" fillId="14" borderId="28" pivotButton="0" quotePrefix="0" xfId="0"/>
    <xf numFmtId="0" fontId="11" fillId="0" borderId="28" pivotButton="0" quotePrefix="0" xfId="0"/>
    <xf numFmtId="0" fontId="0" fillId="9" borderId="28" applyAlignment="1" pivotButton="0" quotePrefix="0" xfId="0">
      <alignment vertical="top" wrapText="1"/>
    </xf>
    <xf numFmtId="172" fontId="0" fillId="17" borderId="28" applyAlignment="1" pivotButton="0" quotePrefix="0" xfId="0">
      <alignment vertical="top" wrapText="1"/>
    </xf>
    <xf numFmtId="172" fontId="0" fillId="18" borderId="0" pivotButton="0" quotePrefix="0" xfId="0"/>
    <xf numFmtId="173" fontId="0" fillId="10" borderId="3" applyAlignment="1" pivotButton="0" quotePrefix="0" xfId="0">
      <alignment vertical="top" wrapText="1"/>
    </xf>
    <xf numFmtId="173" fontId="0" fillId="18" borderId="5" applyAlignment="1" pivotButton="0" quotePrefix="0" xfId="0">
      <alignment vertical="top" wrapText="1"/>
    </xf>
    <xf numFmtId="0" fontId="6" fillId="0" borderId="0" pivotButton="0" quotePrefix="0" xfId="0"/>
    <xf numFmtId="173" fontId="0" fillId="18" borderId="0" pivotButton="0" quotePrefix="0" xfId="0"/>
    <xf numFmtId="10" fontId="0" fillId="18" borderId="0" pivotButton="0" quotePrefix="0" xfId="0"/>
    <xf numFmtId="1" fontId="0" fillId="9" borderId="2" applyAlignment="1" pivotButton="0" quotePrefix="0" xfId="0">
      <alignment vertical="top" wrapText="1"/>
    </xf>
    <xf numFmtId="174" fontId="0" fillId="9" borderId="2" applyAlignment="1" pivotButton="0" quotePrefix="0" xfId="0">
      <alignment vertical="top" wrapText="1"/>
    </xf>
    <xf numFmtId="166" fontId="0" fillId="0" borderId="0" pivotButton="0" quotePrefix="0" xfId="0"/>
    <xf numFmtId="166" fontId="6" fillId="0" borderId="28" pivotButton="0" quotePrefix="0" xfId="0"/>
    <xf numFmtId="3" fontId="14" fillId="21" borderId="33" applyAlignment="1" pivotButton="0" quotePrefix="0" xfId="0">
      <alignment horizontal="center"/>
    </xf>
    <xf numFmtId="0" fontId="15" fillId="21" borderId="34" applyAlignment="1" pivotButton="0" quotePrefix="0" xfId="0">
      <alignment horizontal="center"/>
    </xf>
    <xf numFmtId="0" fontId="14" fillId="21" borderId="33" applyAlignment="1" pivotButton="0" quotePrefix="0" xfId="0">
      <alignment horizontal="center"/>
    </xf>
    <xf numFmtId="166" fontId="14" fillId="21" borderId="33" applyAlignment="1" pivotButton="0" quotePrefix="0" xfId="0">
      <alignment horizontal="center"/>
    </xf>
    <xf numFmtId="172" fontId="14" fillId="21" borderId="33" applyAlignment="1" pivotButton="0" quotePrefix="0" xfId="0">
      <alignment horizontal="center"/>
    </xf>
    <xf numFmtId="175" fontId="14" fillId="21" borderId="33" applyAlignment="1" pivotButton="0" quotePrefix="0" xfId="0">
      <alignment horizontal="center"/>
    </xf>
    <xf numFmtId="176" fontId="14" fillId="21" borderId="33" applyAlignment="1" pivotButton="0" quotePrefix="0" xfId="0">
      <alignment horizontal="center"/>
    </xf>
    <xf numFmtId="175" fontId="14" fillId="18" borderId="33" applyAlignment="1" pivotButton="0" quotePrefix="0" xfId="0">
      <alignment horizontal="center"/>
    </xf>
    <xf numFmtId="0" fontId="15" fillId="18" borderId="34" applyAlignment="1" pivotButton="0" quotePrefix="0" xfId="0">
      <alignment horizontal="center"/>
    </xf>
    <xf numFmtId="177" fontId="0" fillId="0" borderId="0" pivotButton="0" quotePrefix="0" xfId="0"/>
    <xf numFmtId="177" fontId="14" fillId="21" borderId="33" applyAlignment="1" pivotButton="0" quotePrefix="0" xfId="0">
      <alignment horizontal="center"/>
    </xf>
    <xf numFmtId="10" fontId="14" fillId="21" borderId="33" applyAlignment="1" pivotButton="0" quotePrefix="0" xfId="0">
      <alignment horizontal="center"/>
    </xf>
    <xf numFmtId="2" fontId="14" fillId="21" borderId="33" applyAlignment="1" pivotButton="0" quotePrefix="0" xfId="0">
      <alignment horizontal="center"/>
    </xf>
    <xf numFmtId="0" fontId="6" fillId="22" borderId="0" pivotButton="0" quotePrefix="0" xfId="0"/>
    <xf numFmtId="0" fontId="0" fillId="0" borderId="35" pivotButton="0" quotePrefix="0" xfId="0"/>
    <xf numFmtId="3" fontId="0" fillId="0" borderId="28" pivotButton="0" quotePrefix="0" xfId="0"/>
    <xf numFmtId="0" fontId="0" fillId="0" borderId="36" pivotButton="0" quotePrefix="0" xfId="0"/>
    <xf numFmtId="172" fontId="0" fillId="0" borderId="36" pivotButton="0" quotePrefix="0" xfId="0"/>
    <xf numFmtId="172" fontId="0" fillId="0" borderId="35" pivotButton="0" quotePrefix="0" xfId="0"/>
    <xf numFmtId="2" fontId="0" fillId="0" borderId="35" pivotButton="0" quotePrefix="0" xfId="0"/>
    <xf numFmtId="166" fontId="0" fillId="0" borderId="35" pivotButton="0" quotePrefix="0" xfId="0"/>
    <xf numFmtId="177" fontId="0" fillId="0" borderId="35" pivotButton="0" quotePrefix="0" xfId="0"/>
    <xf numFmtId="10" fontId="0" fillId="0" borderId="35" pivotButton="0" quotePrefix="0" xfId="0"/>
    <xf numFmtId="3" fontId="0" fillId="0" borderId="35" pivotButton="0" quotePrefix="0" xfId="0"/>
    <xf numFmtId="9" fontId="0" fillId="0" borderId="0" pivotButton="0" quotePrefix="0" xfId="0"/>
    <xf numFmtId="1" fontId="0" fillId="9" borderId="28" applyAlignment="1" pivotButton="0" quotePrefix="0" xfId="0">
      <alignment vertical="top" wrapText="1"/>
    </xf>
    <xf numFmtId="174" fontId="0" fillId="9" borderId="28" applyAlignment="1" pivotButton="0" quotePrefix="0" xfId="0">
      <alignment vertical="top" wrapText="1"/>
    </xf>
    <xf numFmtId="166" fontId="0" fillId="0" borderId="28" pivotButton="0" quotePrefix="0" xfId="0"/>
    <xf numFmtId="172" fontId="6" fillId="0" borderId="0" pivotButton="0" quotePrefix="0" xfId="0"/>
    <xf numFmtId="172" fontId="0" fillId="0" borderId="0" pivotButton="0" quotePrefix="0" xfId="0"/>
    <xf numFmtId="10" fontId="10" fillId="21" borderId="33" applyAlignment="1" pivotButton="0" quotePrefix="0" xfId="0">
      <alignment horizontal="center" vertical="center" wrapText="1"/>
    </xf>
    <xf numFmtId="0" fontId="15" fillId="21" borderId="34" applyAlignment="1" pivotButton="0" quotePrefix="0" xfId="0">
      <alignment horizontal="center" vertical="center" wrapText="1"/>
    </xf>
    <xf numFmtId="9" fontId="10" fillId="21" borderId="33" applyAlignment="1" pivotButton="0" quotePrefix="0" xfId="0">
      <alignment horizontal="center"/>
    </xf>
    <xf numFmtId="1" fontId="10" fillId="21" borderId="33" applyAlignment="1" pivotButton="0" quotePrefix="0" xfId="0">
      <alignment horizontal="center"/>
    </xf>
    <xf numFmtId="178" fontId="10" fillId="21" borderId="33" applyAlignment="1" pivotButton="0" quotePrefix="0" xfId="0">
      <alignment horizontal="center"/>
    </xf>
    <xf numFmtId="172" fontId="10" fillId="21" borderId="33" applyAlignment="1" pivotButton="0" quotePrefix="0" xfId="0">
      <alignment horizontal="center" vertical="center" wrapText="1"/>
    </xf>
    <xf numFmtId="172" fontId="10" fillId="21" borderId="33" applyAlignment="1" pivotButton="0" quotePrefix="0" xfId="0">
      <alignment horizontal="center"/>
    </xf>
    <xf numFmtId="166" fontId="10" fillId="21" borderId="33" applyAlignment="1" pivotButton="0" quotePrefix="0" xfId="0">
      <alignment horizontal="center"/>
    </xf>
    <xf numFmtId="1" fontId="10" fillId="21" borderId="33" applyAlignment="1" pivotButton="0" quotePrefix="0" xfId="0">
      <alignment horizontal="center" vertical="center" wrapText="1"/>
    </xf>
    <xf numFmtId="3" fontId="10" fillId="21" borderId="33" applyAlignment="1" pivotButton="0" quotePrefix="0" xfId="0">
      <alignment horizontal="center"/>
    </xf>
    <xf numFmtId="170" fontId="10" fillId="21" borderId="33" applyAlignment="1" pivotButton="0" quotePrefix="0" xfId="0">
      <alignment horizontal="center"/>
    </xf>
    <xf numFmtId="1" fontId="10" fillId="21" borderId="33" applyAlignment="1" pivotButton="0" quotePrefix="0" xfId="0">
      <alignment horizontal="center" vertical="center"/>
    </xf>
    <xf numFmtId="0" fontId="15" fillId="21" borderId="34" applyAlignment="1" pivotButton="0" quotePrefix="0" xfId="0">
      <alignment horizontal="center" vertical="center"/>
    </xf>
    <xf numFmtId="173" fontId="10" fillId="21" borderId="33" applyAlignment="1" pivotButton="0" quotePrefix="0" xfId="0">
      <alignment horizontal="center"/>
    </xf>
    <xf numFmtId="10" fontId="10" fillId="21" borderId="33" applyAlignment="1" pivotButton="0" quotePrefix="0" xfId="0">
      <alignment horizontal="center"/>
    </xf>
    <xf numFmtId="177" fontId="10" fillId="21" borderId="33" applyAlignment="1" pivotButton="0" quotePrefix="0" xfId="0">
      <alignment horizontal="center"/>
    </xf>
    <xf numFmtId="0" fontId="10" fillId="21" borderId="33" applyAlignment="1" pivotButton="0" quotePrefix="0" xfId="0">
      <alignment horizontal="center"/>
    </xf>
    <xf numFmtId="0" fontId="6" fillId="22" borderId="6" applyAlignment="1" pivotButton="0" quotePrefix="0" xfId="0">
      <alignment vertical="top" wrapText="1"/>
    </xf>
    <xf numFmtId="1" fontId="6" fillId="22" borderId="6" applyAlignment="1" pivotButton="0" quotePrefix="0" xfId="0">
      <alignment vertical="top" wrapText="1"/>
    </xf>
    <xf numFmtId="172" fontId="6" fillId="22" borderId="6" applyAlignment="1" pivotButton="0" quotePrefix="0" xfId="0">
      <alignment vertical="top" wrapText="1"/>
    </xf>
    <xf numFmtId="166" fontId="6" fillId="22" borderId="0" pivotButton="0" quotePrefix="0" xfId="0"/>
    <xf numFmtId="0" fontId="18" fillId="19" borderId="28" pivotButton="0" quotePrefix="0" xfId="0"/>
    <xf numFmtId="0" fontId="6" fillId="9" borderId="28" applyAlignment="1" pivotButton="0" quotePrefix="0" xfId="0">
      <alignment vertical="top" wrapText="1"/>
    </xf>
    <xf numFmtId="172" fontId="6" fillId="23" borderId="28" applyAlignment="1" pivotButton="0" quotePrefix="0" xfId="0">
      <alignment vertical="top" wrapText="1"/>
    </xf>
    <xf numFmtId="0" fontId="19" fillId="9" borderId="28" applyAlignment="1" pivotButton="0" quotePrefix="0" xfId="0">
      <alignment vertical="top" wrapText="1"/>
    </xf>
    <xf numFmtId="175" fontId="10" fillId="21" borderId="33" applyAlignment="1" pivotButton="0" quotePrefix="0" xfId="0">
      <alignment horizontal="center"/>
    </xf>
    <xf numFmtId="176" fontId="10" fillId="21" borderId="33" applyAlignment="1" pivotButton="0" quotePrefix="0" xfId="0">
      <alignment horizontal="center"/>
    </xf>
    <xf numFmtId="0" fontId="2" fillId="14" borderId="1" applyAlignment="1" pivotButton="0" quotePrefix="0" xfId="0">
      <alignment vertical="center"/>
    </xf>
    <xf numFmtId="0" fontId="0" fillId="0" borderId="1" applyAlignment="1" pivotButton="0" quotePrefix="0" xfId="0">
      <alignment vertical="center"/>
    </xf>
    <xf numFmtId="169" fontId="0" fillId="16" borderId="1" applyAlignment="1" pivotButton="0" quotePrefix="0" xfId="0">
      <alignment vertical="center"/>
    </xf>
    <xf numFmtId="166" fontId="0" fillId="16" borderId="1" applyAlignment="1" pivotButton="0" quotePrefix="0" xfId="0">
      <alignment vertical="center" wrapText="1"/>
    </xf>
    <xf numFmtId="0" fontId="0" fillId="16" borderId="1" applyAlignment="1" pivotButton="0" quotePrefix="0" xfId="0">
      <alignment vertical="center" wrapText="1"/>
    </xf>
    <xf numFmtId="0" fontId="0" fillId="0" borderId="1" applyAlignment="1" pivotButton="0" quotePrefix="0" xfId="0">
      <alignment vertical="center" wrapText="1"/>
    </xf>
    <xf numFmtId="168" fontId="0" fillId="16" borderId="1" applyAlignment="1" pivotButton="0" quotePrefix="0" xfId="0">
      <alignment vertical="center"/>
    </xf>
    <xf numFmtId="168" fontId="0" fillId="16" borderId="1" applyAlignment="1" pivotButton="0" quotePrefix="0" xfId="0">
      <alignment vertical="center" wrapText="1"/>
    </xf>
    <xf numFmtId="164" fontId="0" fillId="16" borderId="1" applyAlignment="1" pivotButton="0" quotePrefix="0" xfId="0">
      <alignment vertical="center"/>
    </xf>
    <xf numFmtId="164" fontId="0" fillId="16" borderId="1" applyAlignment="1" pivotButton="0" quotePrefix="0" xfId="0">
      <alignment vertical="center" wrapText="1"/>
    </xf>
    <xf numFmtId="0" fontId="6" fillId="0" borderId="1" applyAlignment="1" pivotButton="0" quotePrefix="0" xfId="0">
      <alignment vertical="center"/>
    </xf>
    <xf numFmtId="169" fontId="6" fillId="16" borderId="1" applyAlignment="1" pivotButton="0" quotePrefix="0" xfId="0">
      <alignment vertical="center"/>
    </xf>
    <xf numFmtId="169" fontId="0" fillId="16" borderId="1" applyAlignment="1" pivotButton="0" quotePrefix="0" xfId="0">
      <alignment vertical="center" wrapText="1"/>
    </xf>
    <xf numFmtId="179" fontId="6" fillId="16" borderId="1" applyAlignment="1" pivotButton="0" quotePrefix="0" xfId="0">
      <alignment vertical="center"/>
    </xf>
    <xf numFmtId="179" fontId="0" fillId="16" borderId="1" applyAlignment="1" pivotButton="0" quotePrefix="0" xfId="0">
      <alignment vertical="center" wrapText="1"/>
    </xf>
    <xf numFmtId="0" fontId="8" fillId="9" borderId="1" applyAlignment="1" pivotButton="0" quotePrefix="0" xfId="0">
      <alignment vertical="center" wrapText="1"/>
    </xf>
    <xf numFmtId="0" fontId="8" fillId="12" borderId="1" applyAlignment="1" pivotButton="0" quotePrefix="0" xfId="0">
      <alignment vertical="center" wrapText="1"/>
    </xf>
    <xf numFmtId="0" fontId="0" fillId="0" borderId="28" applyAlignment="1" pivotButton="0" quotePrefix="0" xfId="0">
      <alignment vertical="center"/>
    </xf>
    <xf numFmtId="0" fontId="0" fillId="0" borderId="28" applyAlignment="1" pivotButton="0" quotePrefix="0" xfId="0">
      <alignment vertical="center" wrapText="1"/>
    </xf>
    <xf numFmtId="0" fontId="2" fillId="14" borderId="1" applyAlignment="1" pivotButton="0" quotePrefix="0" xfId="0">
      <alignment vertical="center" wrapText="1"/>
    </xf>
    <xf numFmtId="0" fontId="3" fillId="13" borderId="1" applyAlignment="1" pivotButton="0" quotePrefix="0" xfId="0">
      <alignment vertical="center"/>
    </xf>
    <xf numFmtId="164" fontId="3" fillId="16" borderId="1" applyAlignment="1" pivotButton="0" quotePrefix="0" xfId="0">
      <alignment vertical="center"/>
    </xf>
    <xf numFmtId="0" fontId="3" fillId="13" borderId="1" applyAlignment="1" pivotButton="0" quotePrefix="0" xfId="0">
      <alignment vertical="center" wrapText="1"/>
    </xf>
    <xf numFmtId="166" fontId="3" fillId="13" borderId="1" applyAlignment="1" pivotButton="0" quotePrefix="0" xfId="0">
      <alignment vertical="center"/>
    </xf>
    <xf numFmtId="166" fontId="0" fillId="16" borderId="28" applyAlignment="1" pivotButton="0" quotePrefix="0" xfId="0">
      <alignment vertical="center"/>
    </xf>
    <xf numFmtId="0" fontId="6" fillId="0" borderId="28" applyAlignment="1" pivotButton="0" quotePrefix="0" xfId="0">
      <alignment vertical="center"/>
    </xf>
    <xf numFmtId="0" fontId="6" fillId="0" borderId="28" applyAlignment="1" pivotButton="0" quotePrefix="0" xfId="0">
      <alignment vertical="center" wrapText="1"/>
    </xf>
    <xf numFmtId="166" fontId="2" fillId="14" borderId="1" applyAlignment="1" pivotButton="0" quotePrefix="0" xfId="0">
      <alignment vertical="center"/>
    </xf>
    <xf numFmtId="169" fontId="0" fillId="0" borderId="1" applyAlignment="1" pivotButton="0" quotePrefix="0" xfId="0">
      <alignment vertical="center" wrapText="1"/>
    </xf>
    <xf numFmtId="169" fontId="0" fillId="0" borderId="1"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wrapText="1"/>
    </xf>
    <xf numFmtId="0" fontId="0" fillId="24" borderId="3" applyAlignment="1" pivotButton="0" quotePrefix="0" xfId="0">
      <alignment vertical="top" wrapText="1"/>
    </xf>
    <xf numFmtId="3" fontId="2" fillId="14" borderId="28" applyAlignment="1" pivotButton="0" quotePrefix="0" xfId="0">
      <alignment horizontal="center" vertical="center" wrapText="1"/>
    </xf>
    <xf numFmtId="166" fontId="0" fillId="16" borderId="37" applyAlignment="1" pivotButton="0" quotePrefix="0" xfId="0">
      <alignment vertical="top" wrapText="1"/>
    </xf>
    <xf numFmtId="10" fontId="0" fillId="10" borderId="3" applyAlignment="1" pivotButton="0" quotePrefix="0" xfId="0">
      <alignment vertical="top" wrapText="1"/>
    </xf>
    <xf numFmtId="10" fontId="0" fillId="16" borderId="5" applyAlignment="1" pivotButton="0" quotePrefix="0" xfId="0">
      <alignment vertical="top" wrapText="1"/>
    </xf>
    <xf numFmtId="164" fontId="0" fillId="10" borderId="28" applyAlignment="1" pivotButton="0" quotePrefix="0" xfId="0">
      <alignment vertical="top" wrapText="1"/>
    </xf>
    <xf numFmtId="10" fontId="0" fillId="10" borderId="28" applyAlignment="1" pivotButton="0" quotePrefix="0" xfId="0">
      <alignment vertical="top" wrapText="1"/>
    </xf>
    <xf numFmtId="173" fontId="0" fillId="10" borderId="28" applyAlignment="1" pivotButton="0" quotePrefix="0" xfId="0">
      <alignment vertical="top" wrapText="1"/>
    </xf>
    <xf numFmtId="0" fontId="2" fillId="0" borderId="28" applyAlignment="1" pivotButton="0" quotePrefix="0" xfId="0">
      <alignment horizontal="center" vertical="center" wrapText="1"/>
    </xf>
    <xf numFmtId="0" fontId="6" fillId="0" borderId="28" applyAlignment="1" pivotButton="0" quotePrefix="0" xfId="0">
      <alignment vertical="top" wrapText="1"/>
    </xf>
    <xf numFmtId="0" fontId="20" fillId="0" borderId="28" applyAlignment="1" pivotButton="0" quotePrefix="0" xfId="0">
      <alignment vertical="top" wrapText="1"/>
    </xf>
    <xf numFmtId="0" fontId="0" fillId="0" borderId="28" applyAlignment="1" pivotButton="0" quotePrefix="0" xfId="0">
      <alignment vertical="top" wrapText="1"/>
    </xf>
    <xf numFmtId="0" fontId="6" fillId="9" borderId="28" applyAlignment="1" pivotButton="0" quotePrefix="0" xfId="0">
      <alignment vertical="top"/>
    </xf>
    <xf numFmtId="0" fontId="0" fillId="9" borderId="2" applyAlignment="1" pivotButton="0" quotePrefix="0" xfId="0">
      <alignment vertical="top"/>
    </xf>
    <xf numFmtId="0" fontId="0" fillId="9" borderId="28" applyAlignment="1" pivotButton="0" quotePrefix="0" xfId="0">
      <alignment vertical="top"/>
    </xf>
    <xf numFmtId="0" fontId="5" fillId="0" borderId="28" applyAlignment="1" pivotButton="0" quotePrefix="0" xfId="0">
      <alignment horizontal="center" vertical="center" wrapText="1"/>
    </xf>
    <xf numFmtId="0" fontId="3" fillId="0" borderId="28" applyAlignment="1" pivotButton="0" quotePrefix="0" xfId="0">
      <alignment vertical="top" wrapText="1"/>
    </xf>
    <xf numFmtId="0" fontId="5" fillId="0" borderId="28" applyAlignment="1" pivotButton="0" quotePrefix="0" xfId="0">
      <alignment vertical="top" wrapText="1"/>
    </xf>
    <xf numFmtId="0" fontId="0" fillId="10" borderId="3" applyAlignment="1" pivotButton="0" quotePrefix="0" xfId="0">
      <alignment vertical="top"/>
    </xf>
    <xf numFmtId="0" fontId="0" fillId="16" borderId="5" applyAlignment="1" pivotButton="0" quotePrefix="0" xfId="0">
      <alignment vertical="top"/>
    </xf>
    <xf numFmtId="0" fontId="0" fillId="15" borderId="4" applyAlignment="1" pivotButton="0" quotePrefix="0" xfId="0">
      <alignment vertical="top"/>
    </xf>
    <xf numFmtId="0" fontId="0" fillId="9" borderId="2" pivotButton="0" quotePrefix="0" xfId="0"/>
    <xf numFmtId="3" fontId="0" fillId="16" borderId="5" applyAlignment="1" pivotButton="0" quotePrefix="0" xfId="0">
      <alignment vertical="top" wrapText="1"/>
    </xf>
    <xf numFmtId="4" fontId="0" fillId="25" borderId="28" applyAlignment="1" pivotButton="0" quotePrefix="0" xfId="0">
      <alignment vertical="top" wrapText="1"/>
    </xf>
    <xf numFmtId="164" fontId="5" fillId="7" borderId="28" applyAlignment="1" pivotButton="0" quotePrefix="0" xfId="0">
      <alignment horizontal="right" vertical="top" wrapText="1"/>
    </xf>
    <xf numFmtId="0" fontId="5" fillId="7" borderId="28" applyAlignment="1" pivotButton="0" quotePrefix="0" xfId="0">
      <alignment vertical="top" wrapText="1"/>
    </xf>
    <xf numFmtId="0" fontId="21" fillId="7" borderId="38" applyAlignment="1" pivotButton="0" quotePrefix="0" xfId="0">
      <alignment vertical="top" wrapText="1"/>
    </xf>
    <xf numFmtId="0" fontId="16" fillId="0" borderId="35" applyAlignment="1" pivotButton="0" quotePrefix="0" xfId="0">
      <alignment wrapText="1"/>
    </xf>
    <xf numFmtId="0" fontId="0" fillId="0" borderId="35" pivotButton="0" quotePrefix="0" xfId="0"/>
    <xf numFmtId="0" fontId="17" fillId="0" borderId="28" pivotButton="0" quotePrefix="0" xfId="0"/>
    <xf numFmtId="0" fontId="0" fillId="0" borderId="0" pivotButton="0" quotePrefix="0" xfId="0"/>
    <xf numFmtId="0" fontId="12" fillId="19" borderId="28" applyAlignment="1" pivotButton="0" quotePrefix="0" xfId="0">
      <alignment horizontal="center"/>
    </xf>
    <xf numFmtId="0" fontId="13" fillId="20" borderId="28" applyAlignment="1" pivotButton="0" quotePrefix="0" xfId="0">
      <alignment horizontal="center"/>
    </xf>
    <xf numFmtId="0" fontId="16" fillId="0" borderId="28" applyAlignment="1" pivotButton="0" quotePrefix="0" xfId="0">
      <alignment wrapText="1"/>
    </xf>
    <xf numFmtId="0" fontId="2" fillId="19" borderId="28" pivotButton="0" quotePrefix="0" xfId="0"/>
    <xf numFmtId="0" fontId="16" fillId="0" borderId="36" applyAlignment="1" pivotButton="0" quotePrefix="0" xfId="0">
      <alignment wrapText="1"/>
    </xf>
    <xf numFmtId="0" fontId="0" fillId="0" borderId="36" pivotButton="0" quotePrefix="0" xfId="0"/>
    <xf numFmtId="0" fontId="1" fillId="11" borderId="28" applyAlignment="1" pivotButton="0" quotePrefix="0" xfId="0">
      <alignment horizontal="left" vertical="center" wrapText="1"/>
    </xf>
    <xf numFmtId="0" fontId="4" fillId="11" borderId="28" applyAlignment="1" pivotButton="0" quotePrefix="0" xfId="0">
      <alignment horizontal="left" vertical="center" wrapText="1"/>
    </xf>
    <xf numFmtId="0" fontId="3" fillId="9" borderId="2" applyAlignment="1" pivotButton="0" quotePrefix="0" xfId="0">
      <alignment horizontal="left" vertical="center" wrapText="1"/>
    </xf>
    <xf numFmtId="0" fontId="0" fillId="0" borderId="7" pivotButton="0" quotePrefix="0" xfId="0"/>
    <xf numFmtId="0" fontId="0" fillId="0" borderId="8" pivotButton="0" quotePrefix="0" xfId="0"/>
    <xf numFmtId="0" fontId="4" fillId="11" borderId="28" applyAlignment="1" pivotButton="0" quotePrefix="0" xfId="0">
      <alignment vertical="center"/>
    </xf>
    <xf numFmtId="0" fontId="7" fillId="0" borderId="28" applyAlignment="1" pivotButton="0" quotePrefix="0" xfId="0">
      <alignment vertical="center" wrapText="1"/>
    </xf>
    <xf numFmtId="0" fontId="0" fillId="0" borderId="28" pivotButton="0" quotePrefix="0" xfId="0"/>
    <xf numFmtId="0" fontId="0" fillId="0" borderId="1" applyAlignment="1" pivotButton="0" quotePrefix="0" xfId="0">
      <alignment vertical="center" wrapText="1"/>
    </xf>
    <xf numFmtId="0" fontId="0" fillId="0" borderId="30" pivotButton="0" quotePrefix="0" xfId="0"/>
    <xf numFmtId="0" fontId="0" fillId="0" borderId="31" pivotButton="0" quotePrefix="0" xfId="0"/>
    <xf numFmtId="0" fontId="11" fillId="0" borderId="28" applyAlignment="1" pivotButton="0" quotePrefix="0" xfId="0">
      <alignment vertical="top" wrapText="1"/>
    </xf>
    <xf numFmtId="0" fontId="0" fillId="0" borderId="28" applyAlignment="1" pivotButton="0" quotePrefix="0" xfId="0">
      <alignment wrapText="1"/>
    </xf>
    <xf numFmtId="0" fontId="6" fillId="22" borderId="28" pivotButton="0" quotePrefix="0" xfId="0"/>
    <xf numFmtId="9" fontId="0" fillId="10" borderId="3" applyAlignment="1" pivotButton="0" quotePrefix="0" xfId="0">
      <alignment vertical="top" wrapText="1"/>
    </xf>
    <xf numFmtId="0" fontId="12" fillId="26" borderId="28" applyAlignment="1" pivotButton="0" quotePrefix="0" xfId="0">
      <alignment horizontal="center"/>
    </xf>
    <xf numFmtId="0" fontId="13" fillId="27" borderId="28" applyAlignment="1" pivotButton="0" quotePrefix="0" xfId="0">
      <alignment horizontal="center"/>
    </xf>
    <xf numFmtId="3" fontId="22" fillId="28" borderId="33" applyAlignment="1" pivotButton="0" quotePrefix="0" xfId="0">
      <alignment horizontal="center"/>
    </xf>
    <xf numFmtId="0" fontId="22" fillId="28" borderId="33" applyAlignment="1" pivotButton="0" quotePrefix="0" xfId="0">
      <alignment horizontal="center"/>
    </xf>
    <xf numFmtId="166" fontId="22" fillId="28" borderId="33" applyAlignment="1" pivotButton="0" quotePrefix="0" xfId="0">
      <alignment horizontal="center"/>
    </xf>
    <xf numFmtId="172" fontId="22" fillId="28" borderId="33" applyAlignment="1" pivotButton="0" quotePrefix="0" xfId="0">
      <alignment horizontal="center"/>
    </xf>
    <xf numFmtId="0" fontId="15" fillId="28" borderId="34" applyAlignment="1" pivotButton="0" quotePrefix="0" xfId="0">
      <alignment horizontal="center"/>
    </xf>
    <xf numFmtId="175" fontId="22" fillId="28" borderId="33" applyAlignment="1" pivotButton="0" quotePrefix="0" xfId="0">
      <alignment horizontal="center"/>
    </xf>
    <xf numFmtId="176" fontId="22" fillId="28" borderId="33" applyAlignment="1" pivotButton="0" quotePrefix="0" xfId="0">
      <alignment horizontal="center"/>
    </xf>
    <xf numFmtId="175" fontId="22" fillId="0" borderId="33" applyAlignment="1" pivotButton="0" quotePrefix="0" xfId="0">
      <alignment horizontal="center"/>
    </xf>
    <xf numFmtId="0" fontId="15" fillId="0" borderId="34" applyAlignment="1" pivotButton="0" quotePrefix="0" xfId="0">
      <alignment horizontal="center"/>
    </xf>
    <xf numFmtId="177" fontId="22" fillId="28" borderId="33" applyAlignment="1" pivotButton="0" quotePrefix="0" xfId="0">
      <alignment horizontal="center"/>
    </xf>
    <xf numFmtId="10" fontId="22" fillId="28" borderId="33" applyAlignment="1" pivotButton="0" quotePrefix="0" xfId="0">
      <alignment horizontal="center"/>
    </xf>
    <xf numFmtId="2" fontId="22" fillId="28" borderId="33" applyAlignment="1" pivotButton="0" quotePrefix="0" xfId="0">
      <alignment horizontal="center"/>
    </xf>
    <xf numFmtId="0" fontId="2" fillId="26" borderId="28" pivotButton="0" quotePrefix="0" xfId="0"/>
    <xf numFmtId="0" fontId="6" fillId="29" borderId="0" pivotButton="0" quotePrefix="0" xfId="0"/>
    <xf numFmtId="181" fontId="0" fillId="0" borderId="35" pivotButton="0" quotePrefix="0" xfId="0"/>
    <xf numFmtId="182" fontId="0" fillId="0" borderId="35" pivotButton="0" quotePrefix="0" xfId="0"/>
    <xf numFmtId="0" fontId="6" fillId="29" borderId="28" pivotButton="0" quotePrefix="0" xfId="0"/>
    <xf numFmtId="0" fontId="1" fillId="30" borderId="28" applyAlignment="1" pivotButton="0" quotePrefix="0" xfId="0">
      <alignment horizontal="left" vertical="center" wrapText="1"/>
    </xf>
    <xf numFmtId="10" fontId="23" fillId="28" borderId="33" applyAlignment="1" pivotButton="0" quotePrefix="0" xfId="0">
      <alignment horizontal="center" vertical="center" wrapText="1"/>
    </xf>
    <xf numFmtId="9" fontId="23" fillId="28" borderId="33" applyAlignment="1" pivotButton="0" quotePrefix="0" xfId="0">
      <alignment horizontal="right" vertical="center"/>
    </xf>
    <xf numFmtId="1" fontId="23" fillId="28" borderId="33" applyAlignment="1" pivotButton="0" quotePrefix="0" xfId="0">
      <alignment horizontal="center"/>
    </xf>
    <xf numFmtId="9" fontId="23" fillId="28" borderId="33" applyAlignment="1" pivotButton="0" quotePrefix="0" xfId="0">
      <alignment horizontal="center"/>
    </xf>
    <xf numFmtId="178" fontId="23" fillId="28" borderId="33" applyAlignment="1" pivotButton="0" quotePrefix="0" xfId="0">
      <alignment horizontal="center"/>
    </xf>
    <xf numFmtId="0" fontId="15" fillId="28" borderId="34" applyAlignment="1" pivotButton="0" quotePrefix="0" xfId="0">
      <alignment horizontal="center" vertical="center" wrapText="1"/>
    </xf>
    <xf numFmtId="0" fontId="15" fillId="28" borderId="34" applyAlignment="1" pivotButton="0" quotePrefix="0" xfId="0">
      <alignment horizontal="left" vertical="center" wrapText="1"/>
    </xf>
    <xf numFmtId="0" fontId="2" fillId="26" borderId="1" applyAlignment="1" pivotButton="0" quotePrefix="0" xfId="0">
      <alignment horizontal="center" vertical="center" wrapText="1"/>
    </xf>
    <xf numFmtId="0" fontId="2" fillId="26" borderId="1" applyAlignment="1" pivotButton="0" quotePrefix="0" xfId="0">
      <alignment horizontal="left" vertical="center" wrapText="1"/>
    </xf>
    <xf numFmtId="0" fontId="6" fillId="31" borderId="28" applyAlignment="1" pivotButton="0" quotePrefix="0" xfId="0">
      <alignment vertical="top" wrapText="1"/>
    </xf>
    <xf numFmtId="172" fontId="6" fillId="32" borderId="28" applyAlignment="1" pivotButton="0" quotePrefix="0" xfId="0">
      <alignment horizontal="right" vertical="center"/>
    </xf>
    <xf numFmtId="0" fontId="6" fillId="31" borderId="28" applyAlignment="1" pivotButton="0" quotePrefix="0" xfId="0">
      <alignment vertical="top"/>
    </xf>
    <xf numFmtId="0" fontId="19" fillId="31" borderId="28" applyAlignment="1" pivotButton="0" quotePrefix="0" xfId="0">
      <alignment vertical="top" wrapText="1"/>
    </xf>
    <xf numFmtId="0" fontId="0" fillId="31" borderId="2" applyAlignment="1" pivotButton="0" quotePrefix="0" xfId="0">
      <alignment vertical="top" wrapText="1"/>
    </xf>
    <xf numFmtId="0" fontId="0" fillId="33" borderId="43" applyAlignment="1" pivotButton="0" quotePrefix="0" xfId="0">
      <alignment horizontal="left" vertical="center" wrapText="1"/>
    </xf>
    <xf numFmtId="0" fontId="0" fillId="31" borderId="2" applyAlignment="1" pivotButton="0" quotePrefix="0" xfId="0">
      <alignment vertical="top"/>
    </xf>
    <xf numFmtId="0" fontId="0" fillId="33" borderId="43" applyAlignment="1" pivotButton="0" quotePrefix="0" xfId="0">
      <alignment horizontal="right" vertical="center"/>
    </xf>
    <xf numFmtId="166" fontId="6" fillId="34" borderId="44" applyAlignment="1" pivotButton="0" quotePrefix="0" xfId="0">
      <alignment horizontal="right" vertical="center"/>
    </xf>
    <xf numFmtId="168" fontId="6" fillId="34" borderId="44" applyAlignment="1" pivotButton="0" quotePrefix="0" xfId="0">
      <alignment horizontal="right" vertical="center"/>
    </xf>
    <xf numFmtId="169" fontId="6" fillId="34" borderId="44" applyAlignment="1" pivotButton="0" quotePrefix="0" xfId="0">
      <alignment horizontal="right" vertical="center"/>
    </xf>
    <xf numFmtId="166" fontId="0" fillId="0" borderId="5" applyAlignment="1" pivotButton="0" quotePrefix="0" xfId="0">
      <alignment vertical="top" wrapText="1"/>
    </xf>
    <xf numFmtId="166" fontId="0" fillId="0" borderId="37" applyAlignment="1" pivotButton="0" quotePrefix="0" xfId="0">
      <alignment vertical="top" wrapText="1"/>
    </xf>
    <xf numFmtId="3" fontId="0" fillId="0" borderId="5" applyAlignment="1" pivotButton="0" quotePrefix="0" xfId="0">
      <alignment vertical="top" wrapText="1"/>
    </xf>
    <xf numFmtId="1" fontId="0" fillId="33" borderId="43" applyAlignment="1" pivotButton="0" quotePrefix="0" xfId="0">
      <alignment horizontal="right" vertical="center"/>
    </xf>
    <xf numFmtId="164" fontId="0" fillId="33" borderId="43" applyAlignment="1" pivotButton="0" quotePrefix="0" xfId="0">
      <alignment horizontal="right" vertical="center"/>
    </xf>
    <xf numFmtId="168" fontId="0" fillId="33" borderId="43" applyAlignment="1" pivotButton="0" quotePrefix="0" xfId="0">
      <alignment horizontal="right" vertical="center"/>
    </xf>
    <xf numFmtId="165" fontId="6" fillId="34" borderId="44" applyAlignment="1" pivotButton="0" quotePrefix="0" xfId="0">
      <alignment horizontal="right" vertical="center"/>
    </xf>
    <xf numFmtId="165" fontId="0" fillId="0" borderId="5" applyAlignment="1" pivotButton="0" quotePrefix="0" xfId="0">
      <alignment vertical="top" wrapText="1"/>
    </xf>
    <xf numFmtId="0" fontId="0" fillId="31" borderId="28" applyAlignment="1" pivotButton="0" quotePrefix="0" xfId="0">
      <alignment vertical="top" wrapText="1"/>
    </xf>
    <xf numFmtId="172" fontId="6" fillId="34" borderId="44" applyAlignment="1" pivotButton="0" quotePrefix="0" xfId="0">
      <alignment horizontal="right" vertical="center"/>
    </xf>
    <xf numFmtId="0" fontId="0" fillId="31" borderId="28" applyAlignment="1" pivotButton="0" quotePrefix="0" xfId="0">
      <alignment vertical="top"/>
    </xf>
    <xf numFmtId="1" fontId="6" fillId="34" borderId="44" applyAlignment="1" pivotButton="0" quotePrefix="0" xfId="0">
      <alignment horizontal="right" vertical="center"/>
    </xf>
    <xf numFmtId="0" fontId="4" fillId="30" borderId="28" applyAlignment="1" pivotButton="0" quotePrefix="0" xfId="0">
      <alignment horizontal="left" vertical="center" wrapText="1"/>
    </xf>
    <xf numFmtId="172" fontId="23" fillId="28" borderId="33" applyAlignment="1" pivotButton="0" quotePrefix="0" xfId="0">
      <alignment horizontal="center" vertical="center" wrapText="1"/>
    </xf>
    <xf numFmtId="172" fontId="23" fillId="28" borderId="33" applyAlignment="1" pivotButton="0" quotePrefix="0" xfId="0">
      <alignment horizontal="center"/>
    </xf>
    <xf numFmtId="166" fontId="23" fillId="28" borderId="33" applyAlignment="1" pivotButton="0" quotePrefix="0" xfId="0">
      <alignment horizontal="center"/>
    </xf>
    <xf numFmtId="0" fontId="3" fillId="31" borderId="2" applyAlignment="1" pivotButton="0" quotePrefix="0" xfId="0">
      <alignment horizontal="left" vertical="center" wrapText="1"/>
    </xf>
    <xf numFmtId="0" fontId="3" fillId="33" borderId="3" applyAlignment="1" pivotButton="0" quotePrefix="0" xfId="0">
      <alignment vertical="top" wrapText="1"/>
    </xf>
    <xf numFmtId="164" fontId="3" fillId="33" borderId="3" applyAlignment="1" pivotButton="0" quotePrefix="0" xfId="0">
      <alignment horizontal="right" vertical="top" wrapText="1"/>
    </xf>
    <xf numFmtId="0" fontId="5" fillId="33" borderId="9" applyAlignment="1" pivotButton="0" quotePrefix="0" xfId="0">
      <alignment vertical="top" wrapText="1"/>
    </xf>
    <xf numFmtId="164" fontId="5" fillId="33" borderId="9" applyAlignment="1" pivotButton="0" quotePrefix="0" xfId="0">
      <alignment horizontal="right" vertical="top" wrapText="1"/>
    </xf>
    <xf numFmtId="0" fontId="21" fillId="33" borderId="38" applyAlignment="1" pivotButton="0" quotePrefix="0" xfId="0">
      <alignment vertical="top" wrapText="1"/>
    </xf>
    <xf numFmtId="164" fontId="5" fillId="33" borderId="28" applyAlignment="1" pivotButton="0" quotePrefix="0" xfId="0">
      <alignment horizontal="right" vertical="top" wrapText="1"/>
    </xf>
    <xf numFmtId="0" fontId="5" fillId="33" borderId="28" applyAlignment="1" pivotButton="0" quotePrefix="0" xfId="0">
      <alignment vertical="top" wrapText="1"/>
    </xf>
    <xf numFmtId="0" fontId="3" fillId="28" borderId="11" applyAlignment="1" pivotButton="0" quotePrefix="0" xfId="0">
      <alignment vertical="top" wrapText="1"/>
    </xf>
    <xf numFmtId="164" fontId="3" fillId="28" borderId="12" applyAlignment="1" pivotButton="0" quotePrefix="0" xfId="0">
      <alignment horizontal="right" vertical="top" wrapText="1"/>
    </xf>
    <xf numFmtId="0" fontId="3" fillId="28" borderId="12" applyAlignment="1" pivotButton="0" quotePrefix="0" xfId="0">
      <alignment vertical="top" wrapText="1"/>
    </xf>
    <xf numFmtId="0" fontId="3" fillId="28" borderId="13" applyAlignment="1" pivotButton="0" quotePrefix="0" xfId="0">
      <alignment vertical="top" wrapText="1"/>
    </xf>
    <xf numFmtId="164" fontId="3" fillId="28" borderId="14" applyAlignment="1" pivotButton="0" quotePrefix="0" xfId="0">
      <alignment horizontal="right" vertical="top" wrapText="1"/>
    </xf>
    <xf numFmtId="0" fontId="3" fillId="28" borderId="14" applyAlignment="1" pivotButton="0" quotePrefix="0" xfId="0">
      <alignment vertical="top" wrapText="1"/>
    </xf>
    <xf numFmtId="0" fontId="5" fillId="33" borderId="17" applyAlignment="1" pivotButton="0" quotePrefix="0" xfId="0">
      <alignment vertical="top" wrapText="1"/>
    </xf>
    <xf numFmtId="164" fontId="5" fillId="33" borderId="17" applyAlignment="1" pivotButton="0" quotePrefix="0" xfId="0">
      <alignment horizontal="right" vertical="top" wrapText="1"/>
    </xf>
    <xf numFmtId="0" fontId="5" fillId="33" borderId="18" applyAlignment="1" pivotButton="0" quotePrefix="0" xfId="0">
      <alignment vertical="top" wrapText="1"/>
    </xf>
    <xf numFmtId="164" fontId="5" fillId="33" borderId="18" applyAlignment="1" pivotButton="0" quotePrefix="0" xfId="0">
      <alignment horizontal="right" vertical="top" wrapText="1"/>
    </xf>
    <xf numFmtId="0" fontId="3" fillId="32" borderId="15" applyAlignment="1" pivotButton="0" quotePrefix="0" xfId="0">
      <alignment vertical="top" wrapText="1"/>
    </xf>
    <xf numFmtId="164" fontId="3" fillId="32" borderId="15" applyAlignment="1" pivotButton="0" quotePrefix="0" xfId="0">
      <alignment horizontal="right" vertical="top" wrapText="1"/>
    </xf>
    <xf numFmtId="164" fontId="3" fillId="32" borderId="16" applyAlignment="1" pivotButton="0" quotePrefix="0" xfId="0">
      <alignment horizontal="right" vertical="top" wrapText="1"/>
    </xf>
    <xf numFmtId="0" fontId="2" fillId="26" borderId="10" applyAlignment="1" pivotButton="0" quotePrefix="0" xfId="0">
      <alignment horizontal="center" vertical="center" wrapText="1"/>
    </xf>
    <xf numFmtId="1" fontId="5" fillId="0" borderId="26" applyAlignment="1" pivotButton="0" quotePrefix="0" xfId="0">
      <alignment vertical="center"/>
    </xf>
    <xf numFmtId="0" fontId="5" fillId="0" borderId="26" applyAlignment="1" pivotButton="0" quotePrefix="0" xfId="0">
      <alignment vertical="center"/>
    </xf>
    <xf numFmtId="164" fontId="5" fillId="0" borderId="26" applyAlignment="1" pivotButton="0" quotePrefix="0" xfId="0">
      <alignment vertical="center"/>
    </xf>
    <xf numFmtId="0" fontId="5" fillId="0" borderId="22" applyAlignment="1" pivotButton="0" quotePrefix="0" xfId="0">
      <alignment vertical="center"/>
    </xf>
    <xf numFmtId="1" fontId="5" fillId="0" borderId="27" applyAlignment="1" pivotButton="0" quotePrefix="0" xfId="0">
      <alignment vertical="center"/>
    </xf>
    <xf numFmtId="0" fontId="5" fillId="0" borderId="27" applyAlignment="1" pivotButton="0" quotePrefix="0" xfId="0">
      <alignment vertical="center"/>
    </xf>
    <xf numFmtId="164" fontId="5" fillId="0" borderId="27" applyAlignment="1" pivotButton="0" quotePrefix="0" xfId="0">
      <alignment vertical="center"/>
    </xf>
    <xf numFmtId="0" fontId="5" fillId="0" borderId="25" applyAlignment="1" pivotButton="0" quotePrefix="0" xfId="0">
      <alignment vertical="center"/>
    </xf>
    <xf numFmtId="0" fontId="2" fillId="26" borderId="1" applyAlignment="1" pivotButton="0" quotePrefix="0" xfId="0">
      <alignment vertical="top" wrapText="1"/>
    </xf>
    <xf numFmtId="0" fontId="0" fillId="33" borderId="3" applyAlignment="1" pivotButton="0" quotePrefix="0" xfId="0">
      <alignment vertical="top" wrapText="1"/>
    </xf>
    <xf numFmtId="180" fontId="0" fillId="33" borderId="3" applyAlignment="1" pivotButton="0" quotePrefix="0" xfId="0">
      <alignment vertical="top" wrapText="1"/>
    </xf>
    <xf numFmtId="181" fontId="0" fillId="33" borderId="3" applyAlignment="1" pivotButton="0" quotePrefix="0" xfId="0">
      <alignment vertical="top" wrapText="1"/>
    </xf>
    <xf numFmtId="166" fontId="0" fillId="33" borderId="3" applyAlignment="1" pivotButton="0" quotePrefix="0" xfId="0">
      <alignment vertical="top" wrapText="1"/>
    </xf>
    <xf numFmtId="0" fontId="0" fillId="0" borderId="5" applyAlignment="1" pivotButton="0" quotePrefix="0" xfId="0">
      <alignment vertical="top" wrapText="1"/>
    </xf>
    <xf numFmtId="181" fontId="0" fillId="0" borderId="5" applyAlignment="1" pivotButton="0" quotePrefix="0" xfId="0">
      <alignment vertical="top" wrapText="1"/>
    </xf>
    <xf numFmtId="182" fontId="0" fillId="0" borderId="5" applyAlignment="1" pivotButton="0" quotePrefix="0" xfId="0">
      <alignment vertical="top" wrapText="1"/>
    </xf>
    <xf numFmtId="182" fontId="0" fillId="0" borderId="0" pivotButton="0" quotePrefix="0" xfId="0"/>
    <xf numFmtId="0" fontId="0" fillId="0" borderId="0" applyAlignment="1" pivotButton="0" quotePrefix="0" xfId="0">
      <alignment vertical="top" wrapText="1"/>
    </xf>
    <xf numFmtId="165" fontId="0" fillId="31" borderId="2" applyAlignment="1" pivotButton="0" quotePrefix="0" xfId="0">
      <alignment vertical="top" wrapText="1"/>
    </xf>
    <xf numFmtId="180" fontId="0" fillId="31" borderId="2" applyAlignment="1" pivotButton="0" quotePrefix="0" xfId="0">
      <alignment vertical="top" wrapText="1"/>
    </xf>
    <xf numFmtId="1" fontId="23" fillId="28" borderId="33" applyAlignment="1" pivotButton="0" quotePrefix="0" xfId="0">
      <alignment horizontal="center" vertical="center" wrapText="1"/>
    </xf>
    <xf numFmtId="3" fontId="23" fillId="28" borderId="33" applyAlignment="1" pivotButton="0" quotePrefix="0" xfId="0">
      <alignment horizontal="center"/>
    </xf>
    <xf numFmtId="1" fontId="0" fillId="0" borderId="5" applyAlignment="1" pivotButton="0" quotePrefix="0" xfId="0">
      <alignment vertical="top" wrapText="1"/>
    </xf>
    <xf numFmtId="170" fontId="23" fillId="28" borderId="33" applyAlignment="1" pivotButton="0" quotePrefix="0" xfId="0">
      <alignment horizontal="center"/>
    </xf>
    <xf numFmtId="0" fontId="0" fillId="33" borderId="43" applyAlignment="1" pivotButton="0" quotePrefix="0" xfId="0">
      <alignment vertical="top" wrapText="1"/>
    </xf>
    <xf numFmtId="0" fontId="0" fillId="33" borderId="43" applyAlignment="1" pivotButton="0" quotePrefix="0" xfId="0">
      <alignment vertical="top"/>
    </xf>
    <xf numFmtId="165" fontId="0" fillId="33" borderId="43" applyAlignment="1" pivotButton="0" quotePrefix="0" xfId="0">
      <alignment vertical="top" wrapText="1"/>
    </xf>
    <xf numFmtId="170" fontId="0" fillId="33" borderId="43" applyAlignment="1" pivotButton="0" quotePrefix="0" xfId="0">
      <alignment vertical="top" wrapText="1"/>
    </xf>
    <xf numFmtId="0" fontId="0" fillId="0" borderId="5" applyAlignment="1" pivotButton="0" quotePrefix="0" xfId="0">
      <alignment vertical="top"/>
    </xf>
    <xf numFmtId="0" fontId="6" fillId="34" borderId="44" applyAlignment="1" pivotButton="0" quotePrefix="0" xfId="0">
      <alignment vertical="top" wrapText="1"/>
    </xf>
    <xf numFmtId="166" fontId="6" fillId="34" borderId="44" applyAlignment="1" pivotButton="0" quotePrefix="0" xfId="0">
      <alignment vertical="top" wrapText="1"/>
    </xf>
    <xf numFmtId="0" fontId="6" fillId="34" borderId="44" applyAlignment="1" pivotButton="0" quotePrefix="0" xfId="0">
      <alignment vertical="top"/>
    </xf>
    <xf numFmtId="9" fontId="0" fillId="33" borderId="43" applyAlignment="1" pivotButton="0" quotePrefix="0" xfId="0">
      <alignment vertical="top" wrapText="1"/>
    </xf>
    <xf numFmtId="0" fontId="4" fillId="30" borderId="28" applyAlignment="1" pivotButton="0" quotePrefix="0" xfId="0">
      <alignment vertical="center"/>
    </xf>
    <xf numFmtId="0" fontId="2" fillId="30" borderId="28" pivotButton="0" quotePrefix="0" xfId="0"/>
    <xf numFmtId="1" fontId="23" fillId="28" borderId="33" applyAlignment="1" pivotButton="0" quotePrefix="0" xfId="0">
      <alignment horizontal="center" vertical="center"/>
    </xf>
    <xf numFmtId="182" fontId="23" fillId="28" borderId="33" applyAlignment="1" pivotButton="0" quotePrefix="0" xfId="0">
      <alignment horizontal="center"/>
    </xf>
    <xf numFmtId="0" fontId="15" fillId="28" borderId="34" applyAlignment="1" pivotButton="0" quotePrefix="0" xfId="0">
      <alignment horizontal="center" vertical="center"/>
    </xf>
    <xf numFmtId="0" fontId="7" fillId="0" borderId="28" applyAlignment="1" pivotButton="0" quotePrefix="0" xfId="0">
      <alignment vertical="top" wrapText="1"/>
    </xf>
    <xf numFmtId="0" fontId="2" fillId="26" borderId="28" applyAlignment="1" pivotButton="0" quotePrefix="0" xfId="0">
      <alignment horizontal="center" vertical="center" wrapText="1"/>
    </xf>
    <xf numFmtId="1" fontId="3" fillId="0" borderId="46" applyAlignment="1" pivotButton="0" quotePrefix="0" xfId="0">
      <alignment horizontal="center"/>
    </xf>
    <xf numFmtId="184" fontId="3" fillId="0" borderId="46" applyAlignment="1" pivotButton="0" quotePrefix="0" xfId="0">
      <alignment horizontal="right"/>
    </xf>
    <xf numFmtId="184" fontId="9" fillId="0" borderId="46" applyAlignment="1" pivotButton="0" quotePrefix="0" xfId="0">
      <alignment horizontal="right"/>
    </xf>
    <xf numFmtId="185" fontId="3" fillId="0" borderId="46" applyAlignment="1" pivotButton="0" quotePrefix="0" xfId="0">
      <alignment horizontal="right"/>
    </xf>
    <xf numFmtId="1" fontId="0" fillId="0" borderId="46" applyAlignment="1" pivotButton="0" quotePrefix="0" xfId="0">
      <alignment horizontal="center"/>
    </xf>
    <xf numFmtId="184" fontId="0" fillId="0" borderId="46" applyAlignment="1" pivotButton="0" quotePrefix="0" xfId="0">
      <alignment horizontal="right"/>
    </xf>
    <xf numFmtId="185" fontId="0" fillId="0" borderId="46" applyAlignment="1" pivotButton="0" quotePrefix="0" xfId="0">
      <alignment horizontal="right"/>
    </xf>
    <xf numFmtId="181" fontId="0" fillId="0" borderId="0" pivotButton="0" quotePrefix="0" xfId="0"/>
    <xf numFmtId="0" fontId="34" fillId="37" borderId="0" pivotButton="0" quotePrefix="0" xfId="0"/>
    <xf numFmtId="181" fontId="35" fillId="37" borderId="0" applyAlignment="1" pivotButton="0" quotePrefix="0" xfId="0">
      <alignment horizontal="center" wrapText="1"/>
    </xf>
    <xf numFmtId="181" fontId="0" fillId="37" borderId="0" pivotButton="0" quotePrefix="0" xfId="0"/>
    <xf numFmtId="0" fontId="26" fillId="0" borderId="0" pivotButton="0" quotePrefix="0" xfId="0"/>
    <xf numFmtId="185" fontId="0" fillId="0" borderId="0" pivotButton="0" quotePrefix="0" xfId="0"/>
    <xf numFmtId="184" fontId="0" fillId="0" borderId="0" pivotButton="0" quotePrefix="0" xfId="0"/>
    <xf numFmtId="186" fontId="0" fillId="0" borderId="0" pivotButton="0" quotePrefix="0" xfId="0"/>
    <xf numFmtId="0" fontId="36" fillId="0" borderId="0" applyAlignment="1" pivotButton="0" quotePrefix="0" xfId="0">
      <alignment vertical="top" wrapText="1"/>
    </xf>
    <xf numFmtId="10" fontId="23" fillId="28" borderId="33" applyAlignment="1" pivotButton="0" quotePrefix="0" xfId="0">
      <alignment horizontal="center"/>
    </xf>
    <xf numFmtId="0" fontId="24" fillId="0" borderId="28" applyAlignment="1" pivotButton="0" quotePrefix="0" xfId="0">
      <alignment vertical="top" wrapText="1"/>
    </xf>
    <xf numFmtId="0" fontId="0" fillId="0" borderId="0" applyAlignment="1" pivotButton="0" quotePrefix="0" xfId="0">
      <alignment horizontal="center" vertical="center" wrapText="1"/>
    </xf>
    <xf numFmtId="0" fontId="2" fillId="26" borderId="0" applyAlignment="1" pivotButton="0" quotePrefix="0" xfId="0">
      <alignment horizontal="center" vertical="center" wrapText="1"/>
    </xf>
    <xf numFmtId="164" fontId="0" fillId="33" borderId="3" applyAlignment="1" pivotButton="0" quotePrefix="0" xfId="0">
      <alignment vertical="top" wrapText="1"/>
    </xf>
    <xf numFmtId="164" fontId="0" fillId="33" borderId="28" applyAlignment="1" pivotButton="0" quotePrefix="0" xfId="0">
      <alignment vertical="top" wrapText="1"/>
    </xf>
    <xf numFmtId="164" fontId="0" fillId="0" borderId="5" applyAlignment="1" pivotButton="0" quotePrefix="0" xfId="0">
      <alignment vertical="top" wrapText="1"/>
    </xf>
    <xf numFmtId="182" fontId="25" fillId="0" borderId="0" applyAlignment="1" pivotButton="0" quotePrefix="0" xfId="0">
      <alignment horizontal="right"/>
    </xf>
    <xf numFmtId="166" fontId="25" fillId="0" borderId="0" applyAlignment="1" pivotButton="0" quotePrefix="0" xfId="0">
      <alignment horizontal="right"/>
    </xf>
    <xf numFmtId="10" fontId="0" fillId="33" borderId="3" applyAlignment="1" pivotButton="0" quotePrefix="0" xfId="0">
      <alignment vertical="top" wrapText="1"/>
    </xf>
    <xf numFmtId="10" fontId="0" fillId="33" borderId="28" applyAlignment="1" pivotButton="0" quotePrefix="0" xfId="0">
      <alignment vertical="top" wrapText="1"/>
    </xf>
    <xf numFmtId="10" fontId="0" fillId="0" borderId="5" applyAlignment="1" pivotButton="0" quotePrefix="0" xfId="0">
      <alignment vertical="top" wrapText="1"/>
    </xf>
    <xf numFmtId="0" fontId="6" fillId="35" borderId="45" applyAlignment="1" pivotButton="0" quotePrefix="0" xfId="0">
      <alignment vertical="top" wrapText="1"/>
    </xf>
    <xf numFmtId="164" fontId="6" fillId="35" borderId="45" applyAlignment="1" pivotButton="0" quotePrefix="0" xfId="0">
      <alignment vertical="top" wrapText="1"/>
    </xf>
    <xf numFmtId="0" fontId="6" fillId="35" borderId="45" pivotButton="0" quotePrefix="0" xfId="0"/>
    <xf numFmtId="182" fontId="26" fillId="35" borderId="0" applyAlignment="1" pivotButton="0" quotePrefix="0" xfId="0">
      <alignment horizontal="right"/>
    </xf>
    <xf numFmtId="166" fontId="26" fillId="35" borderId="0" applyAlignment="1" pivotButton="0" quotePrefix="0" xfId="0">
      <alignment horizontal="right"/>
    </xf>
    <xf numFmtId="173" fontId="0" fillId="33" borderId="3" applyAlignment="1" pivotButton="0" quotePrefix="0" xfId="0">
      <alignment vertical="top" wrapText="1"/>
    </xf>
    <xf numFmtId="173" fontId="0" fillId="33" borderId="28" applyAlignment="1" pivotButton="0" quotePrefix="0" xfId="0">
      <alignment vertical="top" wrapText="1"/>
    </xf>
    <xf numFmtId="173" fontId="0" fillId="0" borderId="5" applyAlignment="1" pivotButton="0" quotePrefix="0" xfId="0">
      <alignment vertical="top" wrapText="1"/>
    </xf>
    <xf numFmtId="0" fontId="2" fillId="26" borderId="2" applyAlignment="1" pivotButton="0" quotePrefix="0" xfId="0">
      <alignment vertical="top" wrapText="1"/>
    </xf>
    <xf numFmtId="164" fontId="2" fillId="26" borderId="3" applyAlignment="1" pivotButton="0" quotePrefix="0" xfId="0">
      <alignment vertical="top" wrapText="1"/>
    </xf>
    <xf numFmtId="164" fontId="2" fillId="26" borderId="28" applyAlignment="1" pivotButton="0" quotePrefix="0" xfId="0">
      <alignment vertical="top" wrapText="1"/>
    </xf>
    <xf numFmtId="164" fontId="2" fillId="26" borderId="5" applyAlignment="1" pivotButton="0" quotePrefix="0" xfId="0">
      <alignment vertical="top" wrapText="1"/>
    </xf>
    <xf numFmtId="0" fontId="2" fillId="26" borderId="0" pivotButton="0" quotePrefix="0" xfId="0"/>
    <xf numFmtId="182" fontId="27" fillId="26" borderId="0" applyAlignment="1" pivotButton="0" quotePrefix="0" xfId="0">
      <alignment horizontal="right"/>
    </xf>
    <xf numFmtId="166" fontId="27" fillId="26" borderId="0" applyAlignment="1" pivotButton="0" quotePrefix="0" xfId="0">
      <alignment horizontal="right"/>
    </xf>
    <xf numFmtId="169" fontId="0" fillId="0" borderId="5" applyAlignment="1" pivotButton="0" quotePrefix="0" xfId="0">
      <alignment vertical="top" wrapText="1"/>
    </xf>
    <xf numFmtId="0" fontId="2" fillId="27" borderId="0" pivotButton="0" quotePrefix="0" xfId="0"/>
    <xf numFmtId="173" fontId="0" fillId="0" borderId="0" pivotButton="0" quotePrefix="0" xfId="0"/>
    <xf numFmtId="173" fontId="6" fillId="35" borderId="45" pivotButton="0" quotePrefix="0" xfId="0"/>
    <xf numFmtId="10" fontId="0" fillId="0" borderId="0" pivotButton="0" quotePrefix="0" xfId="0"/>
    <xf numFmtId="177" fontId="23" fillId="28" borderId="33" applyAlignment="1" pivotButton="0" quotePrefix="0" xfId="0">
      <alignment horizontal="center"/>
    </xf>
    <xf numFmtId="165" fontId="6" fillId="0" borderId="28" pivotButton="0" quotePrefix="0" xfId="0"/>
    <xf numFmtId="171" fontId="0" fillId="0" borderId="5" applyAlignment="1" pivotButton="0" quotePrefix="0" xfId="0">
      <alignment vertical="top" wrapText="1"/>
    </xf>
    <xf numFmtId="166" fontId="0" fillId="31" borderId="2" applyAlignment="1" pivotButton="0" quotePrefix="0" xfId="0">
      <alignment vertical="top" wrapText="1"/>
    </xf>
    <xf numFmtId="169" fontId="0" fillId="0" borderId="29" applyAlignment="1" pivotButton="0" quotePrefix="0" xfId="0">
      <alignment vertical="top" wrapText="1"/>
    </xf>
    <xf numFmtId="0" fontId="0" fillId="31" borderId="2" applyAlignment="1" pivotButton="0" quotePrefix="0" xfId="0">
      <alignment wrapText="1"/>
    </xf>
    <xf numFmtId="169" fontId="0" fillId="0" borderId="29" applyAlignment="1" pivotButton="0" quotePrefix="0" xfId="0">
      <alignment wrapText="1"/>
    </xf>
    <xf numFmtId="0" fontId="37" fillId="37" borderId="28" applyAlignment="1" pivotButton="0" quotePrefix="0" xfId="0">
      <alignment vertical="center"/>
    </xf>
    <xf numFmtId="0" fontId="25" fillId="0" borderId="28" applyAlignment="1" pivotButton="0" quotePrefix="0" xfId="0">
      <alignment vertical="center"/>
    </xf>
    <xf numFmtId="0" fontId="29" fillId="38" borderId="33" applyAlignment="1" pivotButton="0" quotePrefix="0" xfId="0">
      <alignment horizontal="center"/>
    </xf>
    <xf numFmtId="187" fontId="29" fillId="38" borderId="33" applyAlignment="1" pivotButton="0" quotePrefix="0" xfId="0">
      <alignment horizontal="center"/>
    </xf>
    <xf numFmtId="0" fontId="38" fillId="38" borderId="34" applyAlignment="1" pivotButton="0" quotePrefix="0" xfId="0">
      <alignment horizontal="center"/>
    </xf>
    <xf numFmtId="0" fontId="39" fillId="37" borderId="1" applyAlignment="1" pivotButton="0" quotePrefix="0" xfId="0">
      <alignment horizontal="center" vertical="center" wrapText="1"/>
    </xf>
    <xf numFmtId="0" fontId="26" fillId="0" borderId="1" applyAlignment="1" pivotButton="0" quotePrefix="0" xfId="0">
      <alignment vertical="center"/>
    </xf>
    <xf numFmtId="187" fontId="25" fillId="0" borderId="48" applyAlignment="1" pivotButton="0" quotePrefix="0" xfId="0">
      <alignment horizontal="right"/>
    </xf>
    <xf numFmtId="0" fontId="25" fillId="0" borderId="48" applyAlignment="1" pivotButton="0" quotePrefix="0" xfId="0">
      <alignment horizontal="right"/>
    </xf>
    <xf numFmtId="0" fontId="36" fillId="0" borderId="1" applyAlignment="1" pivotButton="0" quotePrefix="0" xfId="0">
      <alignment vertical="top" wrapText="1"/>
    </xf>
    <xf numFmtId="3" fontId="25" fillId="0" borderId="48" applyAlignment="1" pivotButton="0" quotePrefix="0" xfId="0">
      <alignment horizontal="right"/>
    </xf>
    <xf numFmtId="185" fontId="25" fillId="0" borderId="48" applyAlignment="1" pivotButton="0" quotePrefix="0" xfId="0">
      <alignment horizontal="right"/>
    </xf>
    <xf numFmtId="187" fontId="26" fillId="0" borderId="48" applyAlignment="1" pivotButton="0" quotePrefix="0" xfId="0">
      <alignment horizontal="right"/>
    </xf>
    <xf numFmtId="177" fontId="26" fillId="0" borderId="48" applyAlignment="1" pivotButton="0" quotePrefix="0" xfId="0">
      <alignment horizontal="right"/>
    </xf>
    <xf numFmtId="0" fontId="26" fillId="0" borderId="28" applyAlignment="1" pivotButton="0" quotePrefix="0" xfId="0">
      <alignment vertical="center"/>
    </xf>
    <xf numFmtId="0" fontId="39" fillId="37" borderId="1" applyAlignment="1" pivotButton="0" quotePrefix="0" xfId="0">
      <alignment horizontal="center"/>
    </xf>
    <xf numFmtId="185" fontId="25" fillId="0" borderId="48" applyAlignment="1" pivotButton="0" quotePrefix="0" xfId="0">
      <alignment vertical="center"/>
    </xf>
    <xf numFmtId="0" fontId="25" fillId="0" borderId="1" applyAlignment="1" pivotButton="0" quotePrefix="0" xfId="0">
      <alignment vertical="center"/>
    </xf>
    <xf numFmtId="0" fontId="39" fillId="37" borderId="1" applyAlignment="1" pivotButton="0" quotePrefix="0" xfId="0">
      <alignment vertical="center"/>
    </xf>
    <xf numFmtId="0" fontId="39" fillId="37" borderId="28" applyAlignment="1" pivotButton="0" quotePrefix="0" xfId="0">
      <alignment vertical="center"/>
    </xf>
    <xf numFmtId="185" fontId="25" fillId="0" borderId="1" applyAlignment="1" pivotButton="0" quotePrefix="0" xfId="0">
      <alignment vertical="center"/>
    </xf>
    <xf numFmtId="0" fontId="36" fillId="0" borderId="28" applyAlignment="1" pivotButton="0" quotePrefix="0" xfId="0">
      <alignment vertical="center"/>
    </xf>
    <xf numFmtId="185" fontId="25" fillId="0" borderId="28" applyAlignment="1" pivotButton="0" quotePrefix="0" xfId="0">
      <alignment vertical="center"/>
    </xf>
    <xf numFmtId="0" fontId="38" fillId="0" borderId="1" applyAlignment="1" pivotButton="0" quotePrefix="0" xfId="0">
      <alignment horizontal="right"/>
    </xf>
    <xf numFmtId="0" fontId="38" fillId="0" borderId="28" applyAlignment="1" pivotButton="0" quotePrefix="0" xfId="0">
      <alignment horizontal="right"/>
    </xf>
    <xf numFmtId="0" fontId="26" fillId="0" borderId="0" applyAlignment="1" pivotButton="0" quotePrefix="0" xfId="0">
      <alignment vertical="center"/>
    </xf>
    <xf numFmtId="185" fontId="25" fillId="0" borderId="0" applyAlignment="1" pivotButton="0" quotePrefix="0" xfId="0">
      <alignment vertical="center"/>
    </xf>
    <xf numFmtId="0" fontId="25" fillId="0" borderId="0" applyAlignment="1" pivotButton="0" quotePrefix="0" xfId="0">
      <alignment vertical="center"/>
    </xf>
    <xf numFmtId="0" fontId="37" fillId="37" borderId="0" applyAlignment="1" pivotButton="0" quotePrefix="0" xfId="0">
      <alignment vertical="center"/>
    </xf>
    <xf numFmtId="0" fontId="25" fillId="37" borderId="0" applyAlignment="1" pivotButton="0" quotePrefix="0" xfId="0">
      <alignment vertical="center"/>
    </xf>
    <xf numFmtId="0" fontId="40" fillId="39" borderId="48" applyAlignment="1" pivotButton="0" quotePrefix="0" xfId="0">
      <alignment horizontal="center"/>
    </xf>
    <xf numFmtId="0" fontId="26" fillId="0" borderId="48" applyAlignment="1" pivotButton="0" quotePrefix="0" xfId="0">
      <alignment vertical="center"/>
    </xf>
    <xf numFmtId="0" fontId="25" fillId="0" borderId="48" applyAlignment="1" pivotButton="0" quotePrefix="0" xfId="0">
      <alignment horizontal="center"/>
    </xf>
    <xf numFmtId="0" fontId="36" fillId="0" borderId="28" applyAlignment="1" pivotButton="0" quotePrefix="0" xfId="0">
      <alignment vertical="top" wrapText="1"/>
    </xf>
    <xf numFmtId="0" fontId="23" fillId="0" borderId="28" pivotButton="0" quotePrefix="0" xfId="0"/>
    <xf numFmtId="175" fontId="23" fillId="28" borderId="33" applyAlignment="1" pivotButton="0" quotePrefix="0" xfId="0">
      <alignment horizontal="center"/>
    </xf>
    <xf numFmtId="0" fontId="2" fillId="26" borderId="28" applyAlignment="1" pivotButton="0" quotePrefix="0" xfId="0">
      <alignment horizontal="center"/>
    </xf>
    <xf numFmtId="10" fontId="6" fillId="34" borderId="44" pivotButton="0" quotePrefix="0" xfId="0"/>
    <xf numFmtId="167" fontId="6" fillId="0" borderId="32" pivotButton="0" quotePrefix="0" xfId="0"/>
    <xf numFmtId="167" fontId="0" fillId="0" borderId="32" pivotButton="0" quotePrefix="0" xfId="0"/>
    <xf numFmtId="166" fontId="6" fillId="0" borderId="32" pivotButton="0" quotePrefix="0" xfId="0"/>
    <xf numFmtId="10" fontId="6" fillId="0" borderId="32" pivotButton="0" quotePrefix="0" xfId="0"/>
    <xf numFmtId="0" fontId="28" fillId="30" borderId="0" applyAlignment="1" pivotButton="0" quotePrefix="0" xfId="0">
      <alignment vertical="center"/>
    </xf>
    <xf numFmtId="10" fontId="29" fillId="34" borderId="47" applyAlignment="1" pivotButton="0" quotePrefix="0" xfId="0">
      <alignment horizontal="center"/>
    </xf>
    <xf numFmtId="0" fontId="30" fillId="0" borderId="0" pivotButton="0" quotePrefix="0" xfId="0"/>
    <xf numFmtId="0" fontId="31" fillId="0" borderId="0" pivotButton="0" quotePrefix="0" xfId="0"/>
    <xf numFmtId="0" fontId="0" fillId="0" borderId="46" pivotButton="0" quotePrefix="0" xfId="0"/>
    <xf numFmtId="182" fontId="32" fillId="0" borderId="46" applyAlignment="1" pivotButton="0" quotePrefix="0" xfId="0">
      <alignment horizontal="right"/>
    </xf>
    <xf numFmtId="0" fontId="30" fillId="0" borderId="46" pivotButton="0" quotePrefix="0" xfId="0"/>
    <xf numFmtId="182" fontId="33" fillId="0" borderId="46" applyAlignment="1" pivotButton="0" quotePrefix="0" xfId="0">
      <alignment horizontal="right"/>
    </xf>
    <xf numFmtId="166" fontId="32" fillId="0" borderId="46" applyAlignment="1" pivotButton="0" quotePrefix="0" xfId="0">
      <alignment horizontal="right"/>
    </xf>
    <xf numFmtId="166" fontId="33" fillId="0" borderId="46" applyAlignment="1" pivotButton="0" quotePrefix="0" xfId="0">
      <alignment horizontal="right"/>
    </xf>
    <xf numFmtId="0" fontId="33" fillId="0" borderId="46" applyAlignment="1" pivotButton="0" quotePrefix="0" xfId="0">
      <alignment horizontal="right"/>
    </xf>
    <xf numFmtId="0" fontId="27" fillId="26" borderId="0" pivotButton="0" quotePrefix="0" xfId="0"/>
    <xf numFmtId="0" fontId="0" fillId="26" borderId="0" pivotButton="0" quotePrefix="0" xfId="0"/>
    <xf numFmtId="182" fontId="26" fillId="0" borderId="46" applyAlignment="1" pivotButton="0" quotePrefix="0" xfId="0">
      <alignment horizontal="right"/>
    </xf>
    <xf numFmtId="10" fontId="26" fillId="0" borderId="46" applyAlignment="1" pivotButton="0" quotePrefix="0" xfId="0">
      <alignment horizontal="right"/>
    </xf>
    <xf numFmtId="166" fontId="26" fillId="0" borderId="46" applyAlignment="1" pivotButton="0" quotePrefix="0" xfId="0">
      <alignment horizontal="right"/>
    </xf>
    <xf numFmtId="0" fontId="0" fillId="32" borderId="6" applyAlignment="1" pivotButton="0" quotePrefix="0" xfId="0">
      <alignment vertical="top" wrapText="1"/>
    </xf>
    <xf numFmtId="0" fontId="0" fillId="31" borderId="2" pivotButton="0" quotePrefix="0" xfId="0"/>
    <xf numFmtId="3" fontId="2" fillId="26" borderId="28" applyAlignment="1" pivotButton="0" quotePrefix="0" xfId="0">
      <alignment horizontal="center" vertical="center" wrapText="1"/>
    </xf>
    <xf numFmtId="1" fontId="0" fillId="31" borderId="2" applyAlignment="1" pivotButton="0" quotePrefix="0" xfId="0">
      <alignment vertical="top" wrapText="1"/>
    </xf>
    <xf numFmtId="174" fontId="0" fillId="31" borderId="2" applyAlignment="1" pivotButton="0" quotePrefix="0" xfId="0">
      <alignment vertical="top" wrapText="1"/>
    </xf>
    <xf numFmtId="1" fontId="0" fillId="31" borderId="28" applyAlignment="1" pivotButton="0" quotePrefix="0" xfId="0">
      <alignment vertical="top" wrapText="1"/>
    </xf>
    <xf numFmtId="174" fontId="0" fillId="31" borderId="28" applyAlignment="1" pivotButton="0" quotePrefix="0" xfId="0">
      <alignment vertical="top" wrapText="1"/>
    </xf>
    <xf numFmtId="0" fontId="6" fillId="29" borderId="6" applyAlignment="1" pivotButton="0" quotePrefix="0" xfId="0">
      <alignment vertical="top" wrapText="1"/>
    </xf>
    <xf numFmtId="1" fontId="6" fillId="29" borderId="6" applyAlignment="1" pivotButton="0" quotePrefix="0" xfId="0">
      <alignment vertical="top" wrapText="1"/>
    </xf>
    <xf numFmtId="172" fontId="6" fillId="29" borderId="6" applyAlignment="1" pivotButton="0" quotePrefix="0" xfId="0">
      <alignment vertical="top" wrapText="1"/>
    </xf>
    <xf numFmtId="166" fontId="6" fillId="29" borderId="0" pivotButton="0" quotePrefix="0" xfId="0"/>
    <xf numFmtId="176" fontId="23" fillId="28" borderId="33" applyAlignment="1" pivotButton="0" quotePrefix="0" xfId="0">
      <alignment horizontal="center"/>
    </xf>
  </cellXfs>
  <cellStyles count="1">
    <cellStyle name="Normal" xfId="0" builtinId="0"/>
  </cellStyles>
  <dxfs count="8">
    <dxf>
      <fill>
        <patternFill>
          <bgColor rgb="FFE2F0D9"/>
        </patternFill>
      </fill>
    </dxf>
    <dxf>
      <fill>
        <patternFill>
          <bgColor rgb="FFFCE4D6"/>
        </patternFill>
      </fill>
    </dxf>
    <dxf>
      <font>
        <b val="1"/>
        <color rgb="FFC00000"/>
      </font>
    </dxf>
    <dxf>
      <font>
        <color rgb="FFC00000"/>
      </font>
    </dxf>
    <dxf>
      <font>
        <color rgb="FFB5B0A5"/>
      </font>
    </dxf>
    <dxf>
      <font>
        <b val="1"/>
        <color rgb="00155724"/>
      </font>
      <fill>
        <patternFill patternType="solid">
          <fgColor rgb="00D4EDDA"/>
        </patternFill>
      </fill>
    </dxf>
    <dxf>
      <font>
        <b val="1"/>
        <color rgb="00721C24"/>
      </font>
      <fill>
        <patternFill patternType="solid">
          <fgColor rgb="00F8D7DA"/>
        </patternFill>
      </fill>
    </dxf>
    <dxf>
      <fill>
        <patternFill patternType="solid">
          <fgColor rgb="00FFF2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14342A"/>
    <outlinePr summaryBelow="1" summaryRight="1"/>
    <pageSetUpPr/>
  </sheetPr>
  <dimension ref="A1:F59"/>
  <sheetViews>
    <sheetView showGridLines="0" tabSelected="1" zoomScale="90" workbookViewId="0">
      <selection activeCell="A1" sqref="A1:F1"/>
    </sheetView>
  </sheetViews>
  <sheetFormatPr baseColWidth="8" defaultRowHeight="14.25"/>
  <cols>
    <col width="28.625" customWidth="1" style="234" min="1" max="1"/>
    <col width="17.125" customWidth="1" style="234" min="2" max="5"/>
    <col width="18.625" customWidth="1" style="234" min="6" max="6"/>
  </cols>
  <sheetData>
    <row r="1" ht="39.95" customHeight="1" s="234">
      <c r="A1" s="256" t="str">
        <f>UPPER(Inputs!$B$9)</f>
        <v>RIVERBEND APARTMENTS</v>
      </c>
    </row>
    <row r="2" ht="20.1" customHeight="1" s="234">
      <c r="A2" s="257" t="str">
        <f>Inputs!$B$10&amp;"     |     "&amp;TEXT(Inputs!$B$13,"#,##0")&amp;"-Unit Value-Add     |     Built "&amp;Inputs!$B$11&amp;"     |     "&amp;TEXT(Inputs!$B$12,"0.00")&amp;" Acres"</f>
        <v>4100 Millrace Pointe Drive, Dayton, OH 45415     |     96-Unit Value-Add     |     Built 1987     |     7.40 Acres</v>
      </c>
    </row>
    <row r="3" ht="8.1" customHeight="1" s="234"/>
    <row r="4" ht="30" customHeight="1" s="234">
      <c r="A4" s="258">
        <f>Inputs!$B$13</f>
        <v>96</v>
      </c>
      <c r="B4" s="259">
        <f>Inputs!$B$11</f>
        <v>1987</v>
      </c>
      <c r="C4" s="259" t="str">
        <f>TEXT('Unit Mix'!$B$2,"#,##0")&amp;" SF"</f>
        <v>898 SF</v>
      </c>
      <c r="D4" s="260">
        <f>'Rent Roll'!$B$10</f>
        <v>0.9375</v>
      </c>
      <c r="E4" s="261">
        <f>IFERROR('Rent Roll'!$B$19/Inputs!$B$13,0)</f>
        <v>1089.5833333333333</v>
      </c>
      <c r="F4" s="260">
        <f>'Rent Comps'!$L$12</f>
        <v>0.938</v>
      </c>
    </row>
    <row r="5" ht="14.1" customHeight="1" s="234">
      <c r="A5" s="262" t="inlineStr">
        <is>
          <t>UNITS</t>
        </is>
      </c>
      <c r="B5" s="262" t="inlineStr">
        <is>
          <t>YEAR BUILT</t>
        </is>
      </c>
      <c r="C5" s="262" t="inlineStr">
        <is>
          <t>AVG UNIT SIZE</t>
        </is>
      </c>
      <c r="D5" s="262" t="inlineStr">
        <is>
          <t>OCCUPANCY</t>
        </is>
      </c>
      <c r="E5" s="262" t="inlineStr">
        <is>
          <t>AVG RENT (IN-PLACE)</t>
        </is>
      </c>
      <c r="F5" s="262" t="inlineStr">
        <is>
          <t>MARKET OCC (OM COMPS)</t>
        </is>
      </c>
    </row>
    <row r="6" ht="8.1" customHeight="1" s="234"/>
    <row r="7" ht="30" customHeight="1" s="234">
      <c r="A7" s="263">
        <f>'Debt &amp; Exit'!$B$6</f>
        <v>8442177.41935484</v>
      </c>
      <c r="B7" s="264">
        <f>IFERROR('Debt &amp; Exit'!$B$7,0)</f>
        <v>87939.34811827958</v>
      </c>
      <c r="C7" s="263">
        <f>'T12 Actuals'!$B$23</f>
        <v>523415</v>
      </c>
      <c r="D7" s="263">
        <f>IFERROR('Pro Forma'!$D$30,0)</f>
        <v>484834.8818373657</v>
      </c>
      <c r="E7" s="263">
        <f>Inputs!$B$36</f>
        <v>883600</v>
      </c>
      <c r="F7" s="265">
        <f>'Max Price Solver'!$B$42</f>
        <v>8912387.386848105</v>
      </c>
    </row>
    <row r="8" ht="14.1" customHeight="1" s="234">
      <c r="A8" s="262" t="inlineStr">
        <is>
          <t>PURCHASE PRICE</t>
        </is>
      </c>
      <c r="B8" s="262" t="inlineStr">
        <is>
          <t>PRICE PER DOOR</t>
        </is>
      </c>
      <c r="C8" s="262" t="inlineStr">
        <is>
          <t>T12 NOI</t>
        </is>
      </c>
      <c r="D8" s="262" t="inlineStr">
        <is>
          <t>YEAR 1 NOI</t>
        </is>
      </c>
      <c r="E8" s="262" t="inlineStr">
        <is>
          <t>TOTAL CAPEX</t>
        </is>
      </c>
      <c r="F8" s="266" t="inlineStr">
        <is>
          <t>MAX PRICE @ 16% IRR</t>
        </is>
      </c>
    </row>
    <row r="9" ht="8.1" customHeight="1" s="234"/>
    <row r="10" ht="30" customHeight="1" s="234">
      <c r="A10" s="260">
        <f>IF(AND('Debt &amp; Exit'!$B$25=0,'Debt &amp; Exit'!$B$26&lt;&gt;1),"n/a",'Debt &amp; Exit'!$B$25)</f>
        <v>0.1904325573907768</v>
      </c>
      <c r="B10" s="267">
        <f>IFERROR('Debt &amp; Exit'!$B$26,0)</f>
        <v>2.209921225120345</v>
      </c>
      <c r="C10" s="268">
        <f>IFERROR('Exit Scenarios'!$C$16,0)</f>
        <v>0.10061882593926758</v>
      </c>
      <c r="D10" s="269">
        <f>IFERROR('Pro Forma'!$D$30/'Debt &amp; Exit'!$C$21,0)</f>
        <v>1.4916902581419489</v>
      </c>
      <c r="E10" s="264">
        <f>Inputs!$B$30*Inputs!$B$31*12</f>
        <v>146880</v>
      </c>
      <c r="F10" s="264">
        <f>Tax!$B$16-Tax!$B$12</f>
        <v>18482.99637096774</v>
      </c>
    </row>
    <row r="11" ht="14.1" customHeight="1" s="234">
      <c r="A11" s="262" t="str">
        <f>"LEVERED IRR (SALE YR"&amp;Inputs!$B$17&amp;")"</f>
        <v>LEVERED IRR (SALE YR5)</v>
      </c>
      <c r="B11" s="262" t="inlineStr">
        <is>
          <t>EQUITY MULTIPLE</t>
        </is>
      </c>
      <c r="C11" s="262" t="inlineStr">
        <is>
          <t>YR2 CASH-ON-CASH</t>
        </is>
      </c>
      <c r="D11" s="262" t="inlineStr">
        <is>
          <t>YEAR 1 DSCR</t>
        </is>
      </c>
      <c r="E11" s="262" t="inlineStr">
        <is>
          <t>NOI UPSIDE / YR</t>
        </is>
      </c>
      <c r="F11" s="262" t="inlineStr">
        <is>
          <t>TAX INCREASE / YR</t>
        </is>
      </c>
    </row>
    <row r="12" ht="9.949999999999999" customHeight="1" s="234"/>
    <row r="13" ht="20.1" customHeight="1" s="234">
      <c r="A13" s="270" t="inlineStr">
        <is>
          <t>DETAILS - HOW EACH NUMBER IS BUILT</t>
        </is>
      </c>
    </row>
    <row r="14" ht="18" customHeight="1" s="234">
      <c r="A14" s="271" t="inlineStr">
        <is>
          <t>Metric</t>
        </is>
      </c>
      <c r="B14" s="271" t="inlineStr">
        <is>
          <t>Value</t>
        </is>
      </c>
      <c r="C14" s="271" t="inlineStr">
        <is>
          <t>How calculated</t>
        </is>
      </c>
      <c r="D14" s="271" t="n"/>
      <c r="E14" s="271" t="n"/>
      <c r="F14" s="271" t="n"/>
    </row>
    <row r="15" ht="18" customHeight="1" s="234">
      <c r="A15" s="232" t="inlineStr">
        <is>
          <t>Units</t>
        </is>
      </c>
      <c r="B15" s="272">
        <f>Inputs!$B$13</f>
        <v>96</v>
      </c>
      <c r="C15" s="231" t="inlineStr">
        <is>
          <t>Linked to Inputs.</t>
        </is>
      </c>
      <c r="D15" s="232" t="n"/>
      <c r="E15" s="232" t="n"/>
      <c r="F15" s="232" t="n"/>
    </row>
    <row r="16" ht="18" customHeight="1" s="234">
      <c r="A16" s="232" t="inlineStr">
        <is>
          <t>T12 NOI</t>
        </is>
      </c>
      <c r="B16" s="273">
        <f>'T12 Actuals'!$B$23</f>
        <v>523415</v>
      </c>
      <c r="C16" s="231" t="inlineStr">
        <is>
          <t>Actual trailing-12 NOI.</t>
        </is>
      </c>
      <c r="D16" s="232" t="n"/>
      <c r="E16" s="232" t="n"/>
      <c r="F16" s="232" t="n"/>
    </row>
    <row r="17" ht="18" customHeight="1" s="234">
      <c r="A17" s="232" t="inlineStr">
        <is>
          <t>Purchase Price</t>
        </is>
      </c>
      <c r="B17" s="273">
        <f>'Debt &amp; Exit'!$B$6</f>
        <v>8442177.41935484</v>
      </c>
      <c r="C17" s="231" t="inlineStr">
        <is>
          <t>T12 NOI / purchase cap rate, unless an override price is entered on Inputs.</t>
        </is>
      </c>
      <c r="D17" s="232" t="n"/>
      <c r="E17" s="232" t="n"/>
      <c r="F17" s="232" t="n"/>
    </row>
    <row r="18" ht="18" customHeight="1" s="234">
      <c r="A18" s="232" t="inlineStr">
        <is>
          <t>Price Per Unit</t>
        </is>
      </c>
      <c r="B18" s="273">
        <f>IFERROR('Debt &amp; Exit'!$B$7,0)</f>
        <v>87939.34811827958</v>
      </c>
      <c r="C18" s="231" t="inlineStr">
        <is>
          <t>Purchase price / total units.</t>
        </is>
      </c>
      <c r="D18" s="232" t="n"/>
      <c r="E18" s="232" t="n"/>
      <c r="F18" s="232" t="n"/>
    </row>
    <row r="19" ht="18" customHeight="1" s="234">
      <c r="A19" s="232" t="inlineStr">
        <is>
          <t>Loan Amount</t>
        </is>
      </c>
      <c r="B19" s="273">
        <f>'Debt &amp; Exit'!$B$8</f>
        <v>5909524.193548387</v>
      </c>
      <c r="C19" s="231" t="inlineStr">
        <is>
          <t>Purchase price x LTV.</t>
        </is>
      </c>
      <c r="D19" s="232" t="n"/>
      <c r="E19" s="232" t="n"/>
      <c r="F19" s="232" t="n"/>
    </row>
    <row r="20" ht="18" customHeight="1" s="234">
      <c r="A20" s="232" t="inlineStr">
        <is>
          <t>Initial Equity Required</t>
        </is>
      </c>
      <c r="B20" s="273">
        <f>'Debt &amp; Exit'!$B$12</f>
        <v>3669518.548387097</v>
      </c>
      <c r="C20" s="231" t="inlineStr">
        <is>
          <t>Price + capex + closing - loan.</t>
        </is>
      </c>
      <c r="D20" s="232" t="n"/>
      <c r="E20" s="232" t="n"/>
      <c r="F20" s="232" t="n"/>
    </row>
    <row r="21" ht="30" customHeight="1" s="234">
      <c r="A21" s="232" t="inlineStr">
        <is>
          <t>Year 1 NOI</t>
        </is>
      </c>
      <c r="B21" s="273">
        <f>IFERROR('Pro Forma'!$D$30,0)</f>
        <v>484834.8818373657</v>
      </c>
      <c r="C21" s="231" t="inlineStr">
        <is>
          <t>In-place rent + partial loss-to-lease + reno premium net of downtime, less normalized expenses and reset taxes. Capex is NOT in NOI.</t>
        </is>
      </c>
      <c r="D21" s="232" t="n"/>
      <c r="E21" s="232" t="n"/>
      <c r="F21" s="232" t="n"/>
    </row>
    <row r="22" ht="18" customHeight="1" s="234">
      <c r="A22" s="232" t="inlineStr">
        <is>
          <t>Year 5 NOI</t>
        </is>
      </c>
      <c r="B22" s="273">
        <f>'Pro Forma'!$H$30</f>
        <v>771593.3691027871</v>
      </c>
      <c r="C22" s="231" t="inlineStr">
        <is>
          <t>Full reno premium + income growth, less reset taxes.</t>
        </is>
      </c>
      <c r="D22" s="232" t="n"/>
      <c r="E22" s="232" t="n"/>
      <c r="F22" s="232" t="n"/>
    </row>
    <row r="23" ht="18" customHeight="1" s="234">
      <c r="A23" s="232" t="inlineStr">
        <is>
          <t>Year 8 NOI</t>
        </is>
      </c>
      <c r="B23" s="273">
        <f>'Pro Forma'!$K$30</f>
        <v>843140.9039159557</v>
      </c>
      <c r="C23" s="231" t="inlineStr">
        <is>
          <t>Year 8 of the extended pro forma - drives the Year 8 exits.</t>
        </is>
      </c>
      <c r="D23" s="232" t="n"/>
      <c r="E23" s="232" t="n"/>
      <c r="F23" s="232" t="n"/>
    </row>
    <row r="24" ht="18" customHeight="1" s="234">
      <c r="A24" s="232" t="inlineStr">
        <is>
          <t>Year 1 DSCR</t>
        </is>
      </c>
      <c r="B24" s="136">
        <f>IFERROR('Pro Forma'!$D$30/'Debt &amp; Exit'!$C$21,0)</f>
        <v>1.4916902581419489</v>
      </c>
      <c r="C24" s="231" t="inlineStr">
        <is>
          <t>Year 1 NOI / annual debt service.</t>
        </is>
      </c>
      <c r="D24" s="232" t="n"/>
      <c r="E24" s="232" t="n"/>
      <c r="F24" s="232" t="n"/>
    </row>
    <row r="25" ht="18" customHeight="1" s="234">
      <c r="A25" s="232" t="inlineStr">
        <is>
          <t>Levered IRR (hold-period sale)</t>
        </is>
      </c>
      <c r="B25" s="135">
        <f>'Debt &amp; Exit'!$B$25</f>
        <v>0.1904325573907768</v>
      </c>
      <c r="C25" s="231" t="inlineStr">
        <is>
          <t>Full equity cash flows through the Inputs hold period, incl. net sale proceeds.</t>
        </is>
      </c>
      <c r="D25" s="232" t="n"/>
      <c r="E25" s="232" t="n"/>
      <c r="F25" s="232" t="n"/>
    </row>
    <row r="26" ht="18" customHeight="1" s="234">
      <c r="A26" s="232" t="inlineStr">
        <is>
          <t>Equity Multiple</t>
        </is>
      </c>
      <c r="B26" s="136">
        <f>IFERROR('Debt &amp; Exit'!$B$26,0)</f>
        <v>2.209921225120345</v>
      </c>
      <c r="C26" s="231" t="inlineStr">
        <is>
          <t>Total distributions / initial equity.</t>
        </is>
      </c>
      <c r="D26" s="232" t="n"/>
      <c r="E26" s="232" t="n"/>
      <c r="F26" s="232" t="n"/>
    </row>
    <row r="27" ht="18" customHeight="1" s="234">
      <c r="A27" s="232" t="inlineStr">
        <is>
          <t>Current County Tax</t>
        </is>
      </c>
      <c r="B27" s="273">
        <f>Tax!$B$12</f>
        <v>165393</v>
      </c>
      <c r="C27" s="231" t="inlineStr">
        <is>
          <t>Taxable value x millage + non-ad valorem.</t>
        </is>
      </c>
      <c r="D27" s="232" t="n"/>
      <c r="E27" s="232" t="n"/>
      <c r="F27" s="232" t="n"/>
    </row>
    <row r="28" ht="18" customHeight="1" s="234">
      <c r="A28" s="232" t="inlineStr">
        <is>
          <t>New Tax After Sale</t>
        </is>
      </c>
      <c r="B28" s="273">
        <f>Tax!$B$16</f>
        <v>183875.99637096774</v>
      </c>
      <c r="C28" s="231" t="inlineStr">
        <is>
          <t>Purchase price x millage + non-ad valorem (FL reassessment).</t>
        </is>
      </c>
      <c r="D28" s="232" t="n"/>
      <c r="E28" s="232" t="n"/>
      <c r="F28" s="232" t="n"/>
    </row>
    <row r="29" ht="18" customHeight="1" s="234">
      <c r="A29" s="232" t="inlineStr">
        <is>
          <t>Official Rent Roll Occupancy</t>
        </is>
      </c>
      <c r="B29" s="135">
        <f>'Rent Roll'!$B$10</f>
        <v>0.9375</v>
      </c>
      <c r="C29" s="231" t="inlineStr">
        <is>
          <t>From rent roll report summary.</t>
        </is>
      </c>
      <c r="D29" s="232" t="n"/>
      <c r="E29" s="232" t="n"/>
      <c r="F29" s="232" t="n"/>
    </row>
    <row r="30" ht="18" customHeight="1" s="234">
      <c r="A30" s="232" t="inlineStr">
        <is>
          <t>Current Avg Rent / Unit</t>
        </is>
      </c>
      <c r="B30" s="273">
        <f>IFERROR('Rent Roll'!$B$19/Inputs!$B$13,0)</f>
        <v>1089.5833333333333</v>
      </c>
      <c r="C30" s="231" t="inlineStr">
        <is>
          <t>In-place charges with vacant units counted at market rent, / total units.</t>
        </is>
      </c>
      <c r="D30" s="232" t="n"/>
      <c r="E30" s="232" t="n"/>
      <c r="F30" s="232" t="n"/>
    </row>
    <row r="31" ht="30" customHeight="1" s="234">
      <c r="A31" s="232" t="inlineStr">
        <is>
          <t>Target Avg Rent Post-Reno</t>
        </is>
      </c>
      <c r="B31" s="273">
        <f>IFERROR(('Rent Roll'!$B$16+Inputs!$B$30*Inputs!$B$31)/Inputs!$B$13,0)</f>
        <v>1150.2604166666667</v>
      </c>
      <c r="C31" s="231" t="inlineStr">
        <is>
          <t>Current in-place + value-add units x monthly premium, / total units.</t>
        </is>
      </c>
      <c r="D31" s="232" t="n"/>
      <c r="E31" s="232" t="n"/>
      <c r="F31" s="232" t="n"/>
    </row>
    <row r="32" ht="18" customHeight="1" s="234">
      <c r="A32" s="232" t="inlineStr">
        <is>
          <t>Market Avg Occupancy (OM comp set)</t>
        </is>
      </c>
      <c r="B32" s="135">
        <f>'Rent Comps'!$L$12</f>
        <v>0.938</v>
      </c>
      <c r="C32" s="231" t="inlineStr">
        <is>
          <t>Average of the comp set occupancy - compare to subject for occupancy upside.</t>
        </is>
      </c>
      <c r="D32" s="232" t="n"/>
      <c r="E32" s="232" t="n"/>
      <c r="F32" s="232" t="n"/>
    </row>
    <row r="33" ht="18" customHeight="1" s="234">
      <c r="A33" s="232" t="inlineStr">
        <is>
          <t>Units to Renovate</t>
        </is>
      </c>
      <c r="B33" s="272">
        <f>Inputs!$B$30</f>
        <v>72</v>
      </c>
      <c r="C33" s="231" t="inlineStr">
        <is>
          <t>Value-add units from Inputs.</t>
        </is>
      </c>
      <c r="D33" s="232" t="n"/>
      <c r="E33" s="232" t="n"/>
      <c r="F33" s="232" t="n"/>
    </row>
    <row r="34" ht="18" customHeight="1" s="234">
      <c r="A34" s="232" t="inlineStr">
        <is>
          <t>Total NOI Opportunity</t>
        </is>
      </c>
      <c r="B34" s="273">
        <f>Inputs!$B$30*Inputs!$B$31*12</f>
        <v>146880</v>
      </c>
      <c r="C34" s="231" t="inlineStr">
        <is>
          <t>Value-add units x monthly premium x 12, before downtime.</t>
        </is>
      </c>
      <c r="D34" s="232" t="n"/>
      <c r="E34" s="232" t="n"/>
      <c r="F34" s="232" t="n"/>
    </row>
    <row r="35" ht="18" customHeight="1" s="234">
      <c r="A35" s="232" t="inlineStr">
        <is>
          <t>Max Price to Hit IRR Target</t>
        </is>
      </c>
      <c r="B35" s="273">
        <f>'Max Price Solver'!$B$42</f>
        <v>8912387.386848105</v>
      </c>
      <c r="C35" s="231" t="inlineStr">
        <is>
          <t>Interpolated on the Max Price Solver tab, selling in the hold-period year.</t>
        </is>
      </c>
      <c r="D35" s="232" t="n"/>
      <c r="E35" s="232" t="n"/>
      <c r="F35" s="232" t="n"/>
    </row>
    <row r="36" ht="18" customHeight="1" s="234">
      <c r="A36" s="232" t="inlineStr">
        <is>
          <t xml:space="preserve">   ...same, per unit</t>
        </is>
      </c>
      <c r="B36" s="273">
        <f>'Max Price Solver'!$B$43</f>
        <v>92837.36861300109</v>
      </c>
      <c r="C36" s="231" t="inlineStr">
        <is>
          <t>Solved max price / total units.</t>
        </is>
      </c>
      <c r="D36" s="232" t="n"/>
      <c r="E36" s="232" t="n"/>
      <c r="F36" s="232" t="n"/>
    </row>
    <row r="37" ht="20.1" customHeight="1" s="234">
      <c r="A37" s="29" t="n"/>
    </row>
    <row r="38" ht="18" customHeight="1" s="234">
      <c r="A38" s="274" t="inlineStr">
        <is>
          <t>RETURNS vs TARGETS  (detail on Exit Scenarios tab)</t>
        </is>
      </c>
    </row>
    <row r="39" ht="18" customHeight="1" s="234">
      <c r="A39" t="inlineStr">
        <is>
          <t>Scenario</t>
        </is>
      </c>
      <c r="B39" s="113" t="inlineStr">
        <is>
          <t>IRR</t>
        </is>
      </c>
      <c r="C39" s="124" t="inlineStr">
        <is>
          <t>Equity Multiple</t>
        </is>
      </c>
      <c r="D39" s="139" t="inlineStr">
        <is>
          <t>IRR Target</t>
        </is>
      </c>
      <c r="E39" t="inlineStr">
        <is>
          <t>Status</t>
        </is>
      </c>
    </row>
    <row r="40" ht="18" customHeight="1" s="234">
      <c r="A40" t="inlineStr">
        <is>
          <t>Sale Year 3</t>
        </is>
      </c>
      <c r="B40" s="113">
        <f>'Exit Scenarios'!B14</f>
        <v>0.2221319730711171</v>
      </c>
      <c r="C40" s="124">
        <f>IFERROR('Exit Scenarios'!B15,0)</f>
        <v>1.7815366343943966</v>
      </c>
      <c r="D40" s="139">
        <f>Inputs!$B$47</f>
        <v>0.16</v>
      </c>
      <c r="E40" t="str">
        <f>'Exit Scenarios'!$C$48</f>
        <v>PASS</v>
      </c>
    </row>
    <row r="41" ht="18" customHeight="1" s="234">
      <c r="A41" t="inlineStr">
        <is>
          <t>Sale Year 5</t>
        </is>
      </c>
      <c r="B41" s="113">
        <f>'Exit Scenarios'!C14</f>
        <v>0.1904325573907768</v>
      </c>
      <c r="C41" s="124">
        <f>IFERROR('Exit Scenarios'!C15,0)</f>
        <v>2.209921225120345</v>
      </c>
      <c r="D41" s="139">
        <f>Inputs!$B$47</f>
        <v>0.16</v>
      </c>
      <c r="E41" t="str">
        <f>'Exit Scenarios'!$C$49</f>
        <v>PASS</v>
      </c>
    </row>
    <row r="42" ht="18" customHeight="1" s="234">
      <c r="A42" t="inlineStr">
        <is>
          <t>Sale Year 8</t>
        </is>
      </c>
      <c r="B42" s="113">
        <f>'Exit Scenarios'!D14</f>
        <v>0.17158252373255345</v>
      </c>
      <c r="C42" s="124">
        <f>IFERROR('Exit Scenarios'!D15,0)</f>
        <v>2.9223389217164066</v>
      </c>
      <c r="D42" s="139">
        <f>Inputs!$B$47</f>
        <v>0.16</v>
      </c>
      <c r="E42" t="str">
        <f>'Exit Scenarios'!$C$50</f>
        <v>PASS</v>
      </c>
    </row>
    <row r="43" ht="18" customHeight="1" s="234">
      <c r="A43" t="inlineStr">
        <is>
          <t>Refi Yr3 + Sale Yr5</t>
        </is>
      </c>
      <c r="B43" s="113">
        <f>'Exit Scenarios'!E14</f>
        <v>0.21428408246271613</v>
      </c>
      <c r="C43" s="124">
        <f>IFERROR('Exit Scenarios'!E15,0)</f>
        <v>2.109588336368814</v>
      </c>
      <c r="D43" s="139">
        <f>Inputs!$B$47</f>
        <v>0.16</v>
      </c>
      <c r="E43" t="str">
        <f>'Exit Scenarios'!$C$51</f>
        <v>PASS</v>
      </c>
    </row>
    <row r="44" ht="18" customHeight="1" s="234">
      <c r="A44" t="inlineStr">
        <is>
          <t>Refi Yr3 + Sale Yr8</t>
        </is>
      </c>
      <c r="B44" s="113">
        <f>'Exit Scenarios'!F14</f>
        <v>0.2071723356267623</v>
      </c>
      <c r="C44" s="124">
        <f>IFERROR('Exit Scenarios'!F15,0)</f>
        <v>2.706483275221838</v>
      </c>
      <c r="D44" s="139">
        <f>Inputs!$B$47</f>
        <v>0.16</v>
      </c>
      <c r="E44" t="str">
        <f>'Exit Scenarios'!$C$52</f>
        <v>PASS</v>
      </c>
    </row>
    <row r="45" ht="18" customHeight="1" s="234">
      <c r="A45" t="inlineStr">
        <is>
          <t>Refi Yr5 + Sale Yr8</t>
        </is>
      </c>
      <c r="B45" s="113">
        <f>'Exit Scenarios'!G14</f>
        <v>0.19016912794009544</v>
      </c>
      <c r="C45" s="124">
        <f>IFERROR('Exit Scenarios'!G15,0)</f>
        <v>2.7588605988713835</v>
      </c>
      <c r="D45" s="139">
        <f>Inputs!$B$47</f>
        <v>0.16</v>
      </c>
      <c r="E45" t="str">
        <f>'Exit Scenarios'!$C$53</f>
        <v>PASS</v>
      </c>
    </row>
    <row r="46">
      <c r="A46" t="inlineStr">
        <is>
          <t>Year 2 Cash-on-Cash</t>
        </is>
      </c>
      <c r="B46" s="113">
        <f>IFERROR('Exit Scenarios'!$C$16,0)</f>
        <v>0.10061882593926758</v>
      </c>
      <c r="C46" s="124" t="n"/>
      <c r="D46" s="139">
        <f>Inputs!$B$48</f>
        <v>0.03</v>
      </c>
      <c r="E46" t="str">
        <f>IFERROR('Exit Scenarios'!$E$49,0)</f>
        <v>PASS</v>
      </c>
    </row>
    <row r="47"/>
    <row r="48" ht="28" customHeight="1" s="234">
      <c r="A48" s="215" t="inlineStr">
        <is>
          <t>Colour key:  gold box = a number you can change (Inputs tab)  |  sage = read from your documents  |  white = calculated  |  red = needs verification</t>
        </is>
      </c>
    </row>
    <row r="49"/>
    <row r="50"/>
    <row r="51"/>
    <row r="52"/>
    <row r="53"/>
    <row r="54"/>
    <row r="55"/>
    <row r="56"/>
    <row r="57"/>
    <row r="58"/>
    <row r="59"/>
  </sheetData>
  <mergeCells count="27">
    <mergeCell ref="C23:F23"/>
    <mergeCell ref="C17:F17"/>
    <mergeCell ref="C32:F32"/>
    <mergeCell ref="C19:F19"/>
    <mergeCell ref="C28:F28"/>
    <mergeCell ref="A2:F2"/>
    <mergeCell ref="C18:F18"/>
    <mergeCell ref="C34:F34"/>
    <mergeCell ref="C30:F30"/>
    <mergeCell ref="C15:F15"/>
    <mergeCell ref="C33:F33"/>
    <mergeCell ref="C24:F24"/>
    <mergeCell ref="A38:F38"/>
    <mergeCell ref="A13:F13"/>
    <mergeCell ref="C35:F35"/>
    <mergeCell ref="C26:F26"/>
    <mergeCell ref="C20:F20"/>
    <mergeCell ref="C29:F29"/>
    <mergeCell ref="C16:F16"/>
    <mergeCell ref="C25:F25"/>
    <mergeCell ref="A48:F48"/>
    <mergeCell ref="C22:F22"/>
    <mergeCell ref="C31:F31"/>
    <mergeCell ref="A1:F1"/>
    <mergeCell ref="C21:F21"/>
    <mergeCell ref="C27:F27"/>
    <mergeCell ref="C36:F36"/>
  </mergeCells>
  <conditionalFormatting sqref="D10">
    <cfRule type="expression" priority="3" dxfId="3" stopIfTrue="1">
      <formula>D10&lt;1</formula>
    </cfRule>
  </conditionalFormatting>
  <conditionalFormatting sqref="E39:E43">
    <cfRule type="cellIs" priority="4" operator="equal" dxfId="2" stopIfTrue="1">
      <formula>"FLAG"</formula>
    </cfRule>
  </conditionalFormatting>
  <pageMargins left="0.7" right="0.7" top="0.75" bottom="0.75" header="0.3" footer="0.3"/>
</worksheet>
</file>

<file path=xl/worksheets/sheet2.xml><?xml version="1.0" encoding="utf-8"?>
<worksheet xmlns="http://schemas.openxmlformats.org/spreadsheetml/2006/main">
  <sheetPr>
    <tabColor rgb="FFB98A2E"/>
    <outlinePr summaryBelow="1" summaryRight="1"/>
    <pageSetUpPr/>
  </sheetPr>
  <dimension ref="A1:F55"/>
  <sheetViews>
    <sheetView showGridLines="0" zoomScale="90" workbookViewId="0">
      <selection activeCell="A1" sqref="A1:E1"/>
    </sheetView>
  </sheetViews>
  <sheetFormatPr baseColWidth="8" defaultRowHeight="14.25"/>
  <cols>
    <col width="46" customWidth="1" style="234" min="1" max="1"/>
    <col width="20" customWidth="1" style="234" min="2" max="2"/>
    <col width="85.625" customWidth="1" style="234" min="3" max="3"/>
    <col width="42" customWidth="1" style="234" min="4" max="5"/>
    <col width="22.75" customWidth="1" style="234" min="6" max="6"/>
  </cols>
  <sheetData>
    <row r="1" ht="30" customHeight="1" s="234">
      <c r="A1" s="275" t="str">
        <f>Inputs!$B$9&amp;" - Underwriting Inputs"</f>
        <v>Riverbend Apartments - Underwriting Inputs</v>
      </c>
    </row>
    <row r="2" ht="21.95" customFormat="1" customHeight="1" s="248">
      <c r="A2" s="276">
        <f>B14</f>
        <v>0.062</v>
      </c>
      <c r="B2" s="277">
        <f>B15</f>
        <v>0.7</v>
      </c>
      <c r="C2" s="278">
        <f>B17</f>
        <v>5</v>
      </c>
      <c r="D2" s="279">
        <f>B47</f>
        <v>0.16</v>
      </c>
      <c r="E2" s="280" t="str">
        <f>IF(B6&gt;0,B6,"Off (cap rate)")</f>
        <v>Off (cap rate)</v>
      </c>
      <c r="F2" s="278">
        <f>B45</f>
        <v>6</v>
      </c>
    </row>
    <row r="3" ht="12.95" customFormat="1" customHeight="1" s="248">
      <c r="A3" s="281" t="inlineStr">
        <is>
          <t>PURCHASE CAP RATE</t>
        </is>
      </c>
      <c r="B3" s="282" t="inlineStr">
        <is>
          <t>LTV</t>
        </is>
      </c>
      <c r="C3" s="262" t="inlineStr">
        <is>
          <t>HOLD PERIOD (YRS)</t>
        </is>
      </c>
      <c r="D3" s="262" t="inlineStr">
        <is>
          <t>IRR TARGET</t>
        </is>
      </c>
      <c r="E3" s="262" t="inlineStr">
        <is>
          <t>PRICE OVERRIDE</t>
        </is>
      </c>
      <c r="F3" s="262" t="inlineStr">
        <is>
          <t>UNITS RENOVATED/MO</t>
        </is>
      </c>
    </row>
    <row r="4" ht="8.1" customHeight="1" s="234"/>
    <row r="5" ht="15" customHeight="1" s="234">
      <c r="A5" s="283" t="inlineStr">
        <is>
          <t>Input / Assumption</t>
        </is>
      </c>
      <c r="B5" s="284" t="inlineStr">
        <is>
          <t>Value</t>
        </is>
      </c>
      <c r="C5" s="283" t="inlineStr">
        <is>
          <t>Where it comes from  (gold box = you can change it, sage = read from your documents)</t>
        </is>
      </c>
      <c r="D5" s="212" t="n"/>
    </row>
    <row r="6" ht="28.5" customHeight="1" s="234">
      <c r="A6" s="285" t="inlineStr">
        <is>
          <t>Purchase Price Override ($, 0 = T12 NOI / cap rate)</t>
        </is>
      </c>
      <c r="B6" s="286" t="n">
        <v>0</v>
      </c>
      <c r="C6" s="287" t="inlineStr">
        <is>
          <t>If &gt; 0, this price replaces the cap-rate-derived purchase price everywhere: loan, equity, tax reset, returns, scenarios.</t>
        </is>
      </c>
      <c r="D6" s="213" t="n"/>
    </row>
    <row r="7" ht="28.5" customFormat="1" customHeight="1" s="248">
      <c r="A7" s="288" t="inlineStr">
        <is>
          <t xml:space="preserve">   Cap-Rate-Derived Price (reference)</t>
        </is>
      </c>
      <c r="B7" s="286">
        <f>'T12 Actuals'!$B$23/B14</f>
        <v>8442177.41935484</v>
      </c>
      <c r="C7" s="287" t="inlineStr">
        <is>
          <t>What the purchase price would be with the override off. To revert, clear the override above back to 0.</t>
        </is>
      </c>
      <c r="D7" s="214" t="n"/>
    </row>
    <row r="8" ht="28.5" customFormat="1" customHeight="1" s="248">
      <c r="A8" s="288" t="inlineStr">
        <is>
          <t xml:space="preserve">   Active Purchase Price (in use now)</t>
        </is>
      </c>
      <c r="B8" s="286">
        <f>'Debt &amp; Exit'!$B$6</f>
        <v>8442177.41935484</v>
      </c>
      <c r="C8" s="287" t="inlineStr">
        <is>
          <t>Whichever of the two above is actually driving the model right now.</t>
        </is>
      </c>
      <c r="D8" s="214" t="n"/>
    </row>
    <row r="9" ht="28.5" customHeight="1" s="234">
      <c r="A9" s="289" t="inlineStr">
        <is>
          <t>Property Name</t>
        </is>
      </c>
      <c r="B9" s="290" t="inlineStr">
        <is>
          <t>Riverbend Apartments</t>
        </is>
      </c>
      <c r="C9" s="291" t="inlineStr">
        <is>
          <t>OM / county record. Text label only.</t>
        </is>
      </c>
      <c r="D9" s="215" t="n"/>
    </row>
    <row r="10">
      <c r="A10" s="289" t="inlineStr">
        <is>
          <t>Address</t>
        </is>
      </c>
      <c r="B10" s="290" t="inlineStr">
        <is>
          <t>4100 Millrace Pointe Drive, Dayton, OH 45415</t>
        </is>
      </c>
      <c r="C10" s="291" t="inlineStr">
        <is>
          <t>OM / public record. Text label only.</t>
        </is>
      </c>
      <c r="D10" s="215" t="n"/>
    </row>
    <row r="11" customFormat="1" s="248">
      <c r="A11" s="289" t="inlineStr">
        <is>
          <t>Year Built</t>
        </is>
      </c>
      <c r="B11" s="292" t="n">
        <v>1987</v>
      </c>
      <c r="C11" s="291" t="inlineStr">
        <is>
          <t>OM / county record. Shown on Dashboard fast facts.</t>
        </is>
      </c>
      <c r="D11" s="215" t="n"/>
    </row>
    <row r="12" customFormat="1" s="248">
      <c r="A12" s="289" t="inlineStr">
        <is>
          <t>Site Acres</t>
        </is>
      </c>
      <c r="B12" s="292" t="n">
        <v>7.4</v>
      </c>
      <c r="C12" s="291" t="inlineStr">
        <is>
          <t>OM / county record. Shown on Dashboard banner.</t>
        </is>
      </c>
      <c r="D12" s="215" t="n"/>
    </row>
    <row r="13" ht="28.5" customHeight="1" s="234">
      <c r="A13" s="289" t="inlineStr">
        <is>
          <t>Units</t>
        </is>
      </c>
      <c r="B13" s="292" t="n">
        <v>96</v>
      </c>
      <c r="C13" s="291" t="inlineStr">
        <is>
          <t>OM and rent roll. Used for price per door and per-unit checks.</t>
        </is>
      </c>
      <c r="D13" s="215" t="n"/>
    </row>
    <row r="14">
      <c r="A14" s="289" t="inlineStr">
        <is>
          <t>Purchase Cap Rate</t>
        </is>
      </c>
      <c r="B14" s="293" t="n">
        <v>0.062</v>
      </c>
      <c r="C14" s="291" t="inlineStr">
        <is>
          <t>Purchase price = T12 NOI / purchase cap rate.</t>
        </is>
      </c>
      <c r="D14" s="215" t="n"/>
    </row>
    <row r="15">
      <c r="A15" s="289" t="inlineStr">
        <is>
          <t>LTV</t>
        </is>
      </c>
      <c r="B15" s="293" t="n">
        <v>0.7</v>
      </c>
      <c r="C15" s="291" t="inlineStr">
        <is>
          <t>Debt = purchase price x LTV.</t>
        </is>
      </c>
      <c r="D15" s="215" t="n"/>
    </row>
    <row r="16">
      <c r="A16" s="289" t="inlineStr">
        <is>
          <t>Loan Interest Rate</t>
        </is>
      </c>
      <c r="B16" s="293" t="n">
        <v>0.055</v>
      </c>
      <c r="C16" s="291" t="inlineStr">
        <is>
          <t>Placeholder - source needed. Interest-only debt service = loan amount x rate.</t>
        </is>
      </c>
      <c r="D16" s="215" t="n"/>
    </row>
    <row r="17">
      <c r="A17" s="289" t="inlineStr">
        <is>
          <t>Hold Period (years)</t>
        </is>
      </c>
      <c r="B17" s="294" t="n">
        <v>5</v>
      </c>
      <c r="C17" s="291" t="inlineStr">
        <is>
          <t>Modeling assumption. THE hold-period switch: the model runs eight years and the sale lands in this year on Debt &amp; Exit, the Dashboard, and the Max Price Solver. 1-8.</t>
        </is>
      </c>
      <c r="D17" s="215" t="n"/>
    </row>
    <row r="18">
      <c r="A18" s="289" t="inlineStr">
        <is>
          <t>Exit Cap Rate</t>
        </is>
      </c>
      <c r="B18" s="293" t="n">
        <v>0.06</v>
      </c>
      <c r="C18" s="291" t="inlineStr">
        <is>
          <t>Modeling assumption - source needed. Exit value = the hold-period year's NOI / exit cap rate.</t>
        </is>
      </c>
      <c r="D18" s="215" t="n"/>
    </row>
    <row r="19" ht="27.95" customHeight="1" s="234">
      <c r="A19" s="289" t="inlineStr">
        <is>
          <t>Disposition / Closing Cost at Exit</t>
        </is>
      </c>
      <c r="B19" s="293" t="n">
        <v>0.05</v>
      </c>
      <c r="C19" s="291" t="inlineStr">
        <is>
          <t>Prior 5% convention. Subtracted from exit sale proceeds only.</t>
        </is>
      </c>
      <c r="D19" s="215" t="n"/>
    </row>
    <row r="20">
      <c r="A20" s="289" t="inlineStr">
        <is>
          <t>Closing Cost</t>
        </is>
      </c>
      <c r="B20" s="295" t="n">
        <v>0.03</v>
      </c>
      <c r="C20" s="291" t="inlineStr">
        <is>
          <t>Closing cost = purchase price x 3%. Applies to acquisition/equity and return tabs.</t>
        </is>
      </c>
      <c r="D20" s="215" t="n"/>
    </row>
    <row r="21">
      <c r="A21" s="289" t="inlineStr">
        <is>
          <t>Income Growth</t>
        </is>
      </c>
      <c r="B21" s="293" t="n">
        <v>0.03</v>
      </c>
      <c r="C21" s="291" t="inlineStr">
        <is>
          <t>Income grows 3% YoY after value-add bump, Years 2-8.</t>
        </is>
      </c>
      <c r="D21" s="215" t="n"/>
    </row>
    <row r="22" ht="28.5" customHeight="1" s="234">
      <c r="A22" s="289" t="inlineStr">
        <is>
          <t>Expense Growth</t>
        </is>
      </c>
      <c r="B22" s="293" t="n">
        <v>0.03</v>
      </c>
      <c r="C22" s="291" t="inlineStr">
        <is>
          <t>Non-tax operating expenses grow 3% YoY, Years 2-8.</t>
        </is>
      </c>
      <c r="D22" s="215" t="n"/>
    </row>
    <row r="23" ht="28.5" customHeight="1" s="234">
      <c r="A23" s="289" t="inlineStr">
        <is>
          <t>Tax Growth</t>
        </is>
      </c>
      <c r="B23" s="293" t="n">
        <v>0.03</v>
      </c>
      <c r="C23" s="291" t="inlineStr">
        <is>
          <t>Modeling assumption; verify local tax limits. Tax forecast grows by this rate after reassessment.</t>
        </is>
      </c>
      <c r="D23" s="215" t="n"/>
    </row>
    <row r="24" ht="28.5" customHeight="1" s="234">
      <c r="A24" s="289" t="inlineStr">
        <is>
          <t>Bad Debt %</t>
        </is>
      </c>
      <c r="B24" s="293" t="n">
        <v>0.02</v>
      </c>
      <c r="C24" s="291" t="inlineStr">
        <is>
          <t>Bad debt = adjusted gross potential rent x 2%.</t>
        </is>
      </c>
      <c r="D24" s="215" t="n"/>
    </row>
    <row r="25">
      <c r="A25" s="289" t="inlineStr">
        <is>
          <t>Vacancy %</t>
        </is>
      </c>
      <c r="B25" s="296">
        <f>1-'Rent Roll'!$B$10</f>
        <v>0.0625</v>
      </c>
      <c r="C25" s="291" t="inlineStr">
        <is>
          <t>Calculated from rent roll. Vacancy % = 1 - official rent-roll occupancy.</t>
        </is>
      </c>
      <c r="D25" s="215" t="n"/>
    </row>
    <row r="26" customFormat="1" s="248">
      <c r="A26" s="289" t="inlineStr">
        <is>
          <t>Stabilized Occupancy Target %</t>
        </is>
      </c>
      <c r="B26" s="297" t="n">
        <v>0.96</v>
      </c>
      <c r="C26" s="291" t="n"/>
      <c r="D26" s="215" t="n"/>
    </row>
    <row r="27" ht="28.5" customFormat="1" customHeight="1" s="248">
      <c r="A27" s="289" t="inlineStr">
        <is>
          <t>Management Fee % of EGI</t>
        </is>
      </c>
      <c r="B27" s="293" t="n">
        <v>0.03</v>
      </c>
      <c r="C27" s="291" t="inlineStr">
        <is>
          <t>Management fee = EGI x 3%.</t>
        </is>
      </c>
      <c r="D27" s="215" t="n"/>
    </row>
    <row r="28">
      <c r="A28" s="289" t="inlineStr">
        <is>
          <t>Asset Management Fee % of EGI</t>
        </is>
      </c>
      <c r="B28" s="293" t="n">
        <v>0.02</v>
      </c>
      <c r="C28" s="291" t="inlineStr">
        <is>
          <t>Asset management fee = EGI x 2%.</t>
        </is>
      </c>
      <c r="D28" s="215" t="n"/>
    </row>
    <row r="29" ht="28.5" customHeight="1" s="234">
      <c r="A29" s="289" t="inlineStr">
        <is>
          <t>Concessions (annual $)</t>
        </is>
      </c>
      <c r="B29" s="298">
        <f>B13*B50*B51*'Rent Roll'!$B$2</f>
        <v>17433.333333333314</v>
      </c>
      <c r="C29" s="291" t="inlineStr">
        <is>
          <t>Concessions = units x share turning x months of rent x avg rent/unit (factors below). Grown with income growth in the pro forma.</t>
        </is>
      </c>
      <c r="D29" s="215" t="n"/>
    </row>
    <row r="30">
      <c r="A30" s="289" t="inlineStr">
        <is>
          <t>Value-Add Units</t>
        </is>
      </c>
      <c r="B30" s="299" t="n">
        <v>72</v>
      </c>
      <c r="C30" s="291" t="inlineStr">
        <is>
          <t>OM value-add plan. Used in renovation premium calculation.</t>
        </is>
      </c>
      <c r="D30" s="215" t="n"/>
    </row>
    <row r="31">
      <c r="A31" s="289" t="inlineStr">
        <is>
          <t>Value-Add Premium / Unit / Month</t>
        </is>
      </c>
      <c r="B31" s="300" t="n">
        <v>170</v>
      </c>
      <c r="C31" s="291" t="inlineStr">
        <is>
          <t>OM value-add plan. Monthly premium = online renovated units x $255.</t>
        </is>
      </c>
      <c r="D31" s="215" t="n"/>
    </row>
    <row r="32" ht="27.95" customHeight="1" s="234">
      <c r="A32" s="289" t="inlineStr">
        <is>
          <t>Renovation Downtime (months of rent lost per renovated unit)</t>
        </is>
      </c>
      <c r="B32" s="301" t="n">
        <v>1</v>
      </c>
      <c r="C32" s="291" t="inlineStr">
        <is>
          <t>Single downtime input: each renovated unit loses this many months of rent (renovations happen at lease turnover). Also drives the units-under-renovation schedule column on Reno Pace.</t>
        </is>
      </c>
      <c r="D32" s="215" t="n"/>
    </row>
    <row r="33" ht="28.5" customHeight="1" s="234">
      <c r="A33" s="289" t="inlineStr">
        <is>
          <t>Renovation Online Start Month</t>
        </is>
      </c>
      <c r="B33" s="301" t="n">
        <v>3</v>
      </c>
      <c r="C33" s="291" t="inlineStr">
        <is>
          <t>First completed/online batch starts in month 3; monthly pace continues thereafter.</t>
        </is>
      </c>
      <c r="D33" s="215" t="n"/>
    </row>
    <row r="34">
      <c r="A34" s="289" t="inlineStr">
        <is>
          <t>Interior Renovation Cost / Unit</t>
        </is>
      </c>
      <c r="B34" s="302" t="n">
        <v>8800</v>
      </c>
      <c r="C34" s="291" t="inlineStr">
        <is>
          <t>Prior model / needs confirmation. Interior capex = units x cost per unit.</t>
        </is>
      </c>
      <c r="D34" s="215" t="n"/>
    </row>
    <row r="35">
      <c r="A35" s="289" t="inlineStr">
        <is>
          <t>Common / Exterior Capex</t>
        </is>
      </c>
      <c r="B35" s="302" t="n">
        <v>250000</v>
      </c>
      <c r="C35" s="291" t="inlineStr">
        <is>
          <t>Prior model / needs confirmation. Added to total capex.</t>
        </is>
      </c>
      <c r="D35" s="215" t="n"/>
    </row>
    <row r="36" ht="28.5" customHeight="1" s="234">
      <c r="A36" s="289" t="inlineStr">
        <is>
          <t>Total Capex</t>
        </is>
      </c>
      <c r="B36" s="303">
        <f>B30*B34+B35</f>
        <v>883600</v>
      </c>
      <c r="C36" s="291" t="inlineStr">
        <is>
          <t>Calculated by model. Total capex = value-add units x interior cost/unit + common/exterior capex.</t>
        </is>
      </c>
      <c r="D36" s="215" t="n"/>
    </row>
    <row r="37" ht="28.5" customFormat="1" customHeight="1" s="248">
      <c r="A37" s="304" t="inlineStr">
        <is>
          <t>Miscellaneous Expense (One-Time, Year 1 Only)</t>
        </is>
      </c>
      <c r="B37" s="305" t="n">
        <v>10000</v>
      </c>
      <c r="C37" s="306" t="inlineStr">
        <is>
          <t>One-time expense charged in Year 1 only. Does not recur or grow in Years 2-8.</t>
        </is>
      </c>
      <c r="D37" s="215" t="n"/>
    </row>
    <row r="38" ht="28.5" customFormat="1" customHeight="1" s="248"/>
    <row r="39" ht="15" customHeight="1" s="234">
      <c r="A39" s="270" t="inlineStr">
        <is>
          <t>ADDED - SCENARIOS, PHASING &amp; DEBT STRUCTURE</t>
        </is>
      </c>
      <c r="B39" s="270" t="n"/>
      <c r="C39" s="270" t="n"/>
      <c r="D39" s="29" t="n"/>
    </row>
    <row r="40" ht="15" customHeight="1" s="234">
      <c r="A40" s="248" t="inlineStr">
        <is>
          <t>Refi Cap Rate</t>
        </is>
      </c>
      <c r="B40" s="293" t="n">
        <v>0.0595</v>
      </c>
      <c r="C40" s="248" t="inlineStr">
        <is>
          <t>Modeling assumption. Refi value = the refi year's NOI / this cap. Exit Scenarios models a Year 3 and a Year 5 refinance.</t>
        </is>
      </c>
      <c r="D40" s="215" t="n"/>
    </row>
    <row r="41" ht="27.95" customHeight="1" s="234">
      <c r="A41" s="248" t="inlineStr">
        <is>
          <t>Refi LTV</t>
        </is>
      </c>
      <c r="B41" s="293" t="n">
        <v>0.7</v>
      </c>
      <c r="C41" s="248" t="inlineStr">
        <is>
          <t>New loan = refi value x this LTV.</t>
        </is>
      </c>
      <c r="D41" s="215" t="n"/>
    </row>
    <row r="42">
      <c r="A42" s="248" t="inlineStr">
        <is>
          <t>Refi Closing Cost %</t>
        </is>
      </c>
      <c r="B42" s="293" t="n">
        <v>0.01</v>
      </c>
      <c r="C42" s="248" t="inlineStr">
        <is>
          <t>Modeling assumption. Cost = new loan x this %.</t>
        </is>
      </c>
      <c r="D42" s="215" t="n"/>
    </row>
    <row r="43">
      <c r="A43" s="248" t="inlineStr">
        <is>
          <t>Refi Interest Rate</t>
        </is>
      </c>
      <c r="B43" s="293" t="n">
        <v>0.0545</v>
      </c>
      <c r="C43" s="248" t="inlineStr">
        <is>
          <t>Placeholder - needs quote. New debt service after refi, on both the Year 3 and Year 5 refi cases.</t>
        </is>
      </c>
      <c r="D43" s="215" t="n"/>
    </row>
    <row r="44">
      <c r="A44" s="248" t="inlineStr">
        <is>
          <t>Loss-to-Lease Capture in Year 1 %</t>
        </is>
      </c>
      <c r="B44" s="293" t="n">
        <v>0.5</v>
      </c>
      <c r="C44" s="248" t="inlineStr">
        <is>
          <t>Modeling assumption. Yr1 rent = in-place + LTL x this %; full market by Yr2.</t>
        </is>
      </c>
      <c r="D44" s="215" t="n"/>
    </row>
    <row r="45" ht="28.5" customHeight="1" s="234">
      <c r="A45" s="248" t="inlineStr">
        <is>
          <t>Units Renovated Per Month</t>
        </is>
      </c>
      <c r="B45" s="294" t="n">
        <v>6</v>
      </c>
      <c r="C45" s="248" t="inlineStr">
        <is>
          <t>Modeling assumption. Drives completed/online units per month on Reno Pace tab.</t>
        </is>
      </c>
      <c r="D45" s="215" t="n"/>
    </row>
    <row r="46" ht="28.5" customHeight="1" s="234">
      <c r="A46" s="248" t="inlineStr">
        <is>
          <t>Amortization Period (yrs, 0=Interest-Only)</t>
        </is>
      </c>
      <c r="B46" s="307" t="n">
        <v>0</v>
      </c>
      <c r="C46" s="248" t="inlineStr">
        <is>
          <t>Modeling toggle. 0 = interest-only. &gt;0 = amortizing debt service (PMT) and principal paydown.</t>
        </is>
      </c>
      <c r="D46" s="215" t="n"/>
    </row>
    <row r="47" ht="28.5" customHeight="1" s="234">
      <c r="A47" s="248" t="inlineStr">
        <is>
          <t>IRR Target</t>
        </is>
      </c>
      <c r="B47" s="293" t="n">
        <v>0.16</v>
      </c>
      <c r="C47" s="248" t="inlineStr">
        <is>
          <t>Scenario IRRs are scored PASS/FLAG vs. this.</t>
        </is>
      </c>
      <c r="D47" s="215" t="n"/>
    </row>
    <row r="48">
      <c r="A48" s="248" t="inlineStr">
        <is>
          <t>Year 2 Cash-on-Cash Target</t>
        </is>
      </c>
      <c r="B48" s="293" t="n">
        <v>0.03</v>
      </c>
      <c r="C48" s="248" t="inlineStr">
        <is>
          <t>Yr2 CoC scored PASS/FLAG vs. this.</t>
        </is>
      </c>
      <c r="D48" s="215" t="n"/>
    </row>
    <row r="49" ht="28.5" customHeight="1" s="234">
      <c r="A49" s="304" t="inlineStr">
        <is>
          <t>Additional Other Income (Annual $, e.g. parking, pet, storage not yet charged)</t>
        </is>
      </c>
      <c r="B49" s="305" t="n">
        <v>0</v>
      </c>
      <c r="C49" s="306" t="inlineStr">
        <is>
          <t>Value-add upside / estimate. Ancillary income not currently charged. Added to the Other Income line from Year 1, then grown with income growth. 0 = none.</t>
        </is>
      </c>
      <c r="D49" s="215" t="n"/>
    </row>
    <row r="50" ht="28.5" customHeight="1" s="234">
      <c r="A50" t="inlineStr">
        <is>
          <t>Share of Units Turning / Year</t>
        </is>
      </c>
      <c r="B50" s="113" t="n">
        <v>0.3333333333333333</v>
      </c>
      <c r="C50" t="inlineStr">
        <is>
          <t>Modeling assumption. Fraction of units that turn each year. Drives BOTH the concession estimate above and the turnover benchmark below.</t>
        </is>
      </c>
    </row>
    <row r="51">
      <c r="A51" t="inlineStr">
        <is>
          <t>Concession: Months of Rent per Turned Unit</t>
        </is>
      </c>
      <c r="B51" s="139" t="n">
        <v>0.5</v>
      </c>
      <c r="C51" t="inlineStr">
        <is>
          <t>Modeling assumption. Concession granted per turned unit, in months of average rent (0.5 = half a month).</t>
        </is>
      </c>
    </row>
    <row r="52">
      <c r="A52" s="270" t="inlineStr">
        <is>
          <t>ADDED - HOUSE EXPENSE BENCHMARKS (house numbers, 2026-08-10)</t>
        </is>
      </c>
    </row>
    <row r="53">
      <c r="A53" s="248" t="inlineStr">
        <is>
          <t>Turnover / Make-Ready Benchmark ($ per TURNED unit)</t>
        </is>
      </c>
      <c r="B53" s="294" t="n">
        <v>330</v>
      </c>
      <c r="C53" s="248" t="inlineStr">
        <is>
          <t>House benchmark. Quoted per unit that TURNS, not per unit in the property — the Pro Forma benchmark cell converts it with the turn share above. 0 = use the T12 turnover figure.</t>
        </is>
      </c>
    </row>
    <row r="54">
      <c r="A54" s="248" t="inlineStr">
        <is>
          <t>Replacement Reserves ($/unit/yr)</t>
        </is>
      </c>
      <c r="B54" s="294" t="n">
        <v>250</v>
      </c>
      <c r="C54" s="248" t="inlineStr">
        <is>
          <t>House benchmark. Charged BELOW NOI on the Pro Forma, so it does not change NOI, the purchase price, the exit values or the IRR — only cash flow after reserves. Grows with expense growth. 0 = no reserve line.</t>
        </is>
      </c>
    </row>
    <row r="55">
      <c r="A55" s="248" t="inlineStr">
        <is>
          <t>Max Total Opex as % of EGI</t>
        </is>
      </c>
      <c r="B55" s="293" t="n">
        <v>0.5600000000000001</v>
      </c>
      <c r="C55" s="248" t="inlineStr">
        <is>
          <t>House ceiling. Year 1 total operating expenses are scored against this on the Checks tab. 0 = not scored.</t>
        </is>
      </c>
    </row>
  </sheetData>
  <mergeCells count="1">
    <mergeCell ref="A1:E1"/>
  </mergeCells>
  <conditionalFormatting sqref="B6:B8">
    <cfRule type="cellIs" priority="1" operator="greaterThan" dxfId="1" stopIfTrue="1">
      <formula>0</formula>
    </cfRule>
    <cfRule type="cellIs" priority="2" operator="equal" dxfId="0" stopIfTrue="1">
      <formula>0</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243"/>
  <sheetViews>
    <sheetView showGridLines="0" zoomScale="90" workbookViewId="0">
      <selection activeCell="A1" sqref="A1:F1"/>
    </sheetView>
  </sheetViews>
  <sheetFormatPr baseColWidth="8" defaultRowHeight="14.25"/>
  <cols>
    <col width="28" customWidth="1" style="234" min="1" max="1"/>
    <col width="15" customWidth="1" style="234" min="2" max="2"/>
    <col width="46" customWidth="1" style="234" min="3" max="3"/>
    <col width="24" customWidth="1" style="234" min="4" max="4"/>
    <col width="34" customWidth="1" style="234" min="5" max="5"/>
    <col width="30" customWidth="1" style="234" min="6" max="6"/>
    <col width="13" customWidth="1" style="234" min="7" max="16"/>
    <col width="24" customWidth="1" style="234" min="17" max="17"/>
  </cols>
  <sheetData>
    <row r="1" ht="27.95" customHeight="1" s="234">
      <c r="A1" s="308" t="inlineStr">
        <is>
          <t>T12 Actuals - Summary</t>
        </is>
      </c>
    </row>
    <row r="2" ht="21.95" customFormat="1" customHeight="1" s="248">
      <c r="A2" s="309">
        <f>B23</f>
        <v>523415</v>
      </c>
      <c r="B2" s="310">
        <f>B10</f>
        <v>1231000</v>
      </c>
      <c r="C2" s="310">
        <f>B22</f>
        <v>707585</v>
      </c>
      <c r="D2" s="311">
        <f>IFERROR(B23/B10,0)</f>
        <v>0.4251949634443542</v>
      </c>
    </row>
    <row r="3" ht="12.95" customFormat="1" customHeight="1" s="248">
      <c r="A3" s="281" t="inlineStr">
        <is>
          <t>T12 NOI</t>
        </is>
      </c>
      <c r="B3" s="262" t="inlineStr">
        <is>
          <t>T12 EGI</t>
        </is>
      </c>
      <c r="C3" s="262" t="inlineStr">
        <is>
          <t>TOTAL OPEX</t>
        </is>
      </c>
      <c r="D3" s="262" t="inlineStr">
        <is>
          <t>NOI MARGIN</t>
        </is>
      </c>
    </row>
    <row r="4" ht="21.75" customHeight="1" s="234">
      <c r="A4" s="312" t="inlineStr">
        <is>
          <t>Summary of the uploaded T12. Raw monthly account detail is pasted below.</t>
        </is>
      </c>
      <c r="B4" s="244" t="n"/>
      <c r="C4" s="244" t="n"/>
      <c r="D4" s="244" t="n"/>
      <c r="E4" s="244" t="n"/>
      <c r="F4" s="245" t="n"/>
    </row>
    <row r="5" ht="21.95" customHeight="1" s="234">
      <c r="A5" s="2" t="inlineStr">
        <is>
          <t>Line</t>
        </is>
      </c>
      <c r="B5" s="2" t="inlineStr">
        <is>
          <t>T12 Amount</t>
        </is>
      </c>
      <c r="C5" s="2" t="inlineStr">
        <is>
          <t>Notes</t>
        </is>
      </c>
      <c r="D5" s="219" t="n"/>
    </row>
    <row r="6" ht="33.95" customHeight="1" s="234">
      <c r="A6" s="313" t="inlineStr">
        <is>
          <t>Gross Potential Rent</t>
        </is>
      </c>
      <c r="B6" s="314" t="n">
        <v>1305600</v>
      </c>
      <c r="C6" s="313" t="inlineStr">
        <is>
          <t>Starting point only. Source T12 number. Year 1 underwrite uses rent roll market rent instead.</t>
        </is>
      </c>
      <c r="D6" s="220" t="n"/>
    </row>
    <row r="7" ht="33.95" customHeight="1" s="234">
      <c r="A7" s="313" t="inlineStr">
        <is>
          <t>Less: vacancy, concessions, bad debt</t>
        </is>
      </c>
      <c r="B7" s="314" t="n">
        <v>-166500</v>
      </c>
      <c r="C7" s="313" t="inlineStr">
        <is>
          <t>Used to understand actual drag. Company underwrite normalizes key items instead of blindly using this total.</t>
        </is>
      </c>
      <c r="D7" s="220" t="n"/>
    </row>
    <row r="8" ht="33.95" customHeight="1" s="234">
      <c r="A8" s="313" t="inlineStr">
        <is>
          <t>Net Rental Income</t>
        </is>
      </c>
      <c r="B8" s="314" t="n">
        <v>1139100</v>
      </c>
      <c r="C8" s="313" t="inlineStr">
        <is>
          <t>Reference point. Source T12 number.</t>
        </is>
      </c>
      <c r="D8" s="220" t="n"/>
    </row>
    <row r="9" ht="33.95" customHeight="1" s="234">
      <c r="A9" s="313" t="inlineStr">
        <is>
          <t>Other Income</t>
        </is>
      </c>
      <c r="B9" s="314" t="n">
        <v>91900</v>
      </c>
      <c r="C9" s="313" t="inlineStr">
        <is>
          <t>Pro forma starts here. Year 1 grows this by 3%.</t>
        </is>
      </c>
      <c r="D9" s="220" t="n"/>
    </row>
    <row r="10" ht="33.95" customHeight="1" s="234">
      <c r="A10" s="315" t="inlineStr">
        <is>
          <t>Effective Gross Income (EGI)</t>
        </is>
      </c>
      <c r="B10" s="316" t="n">
        <v>1231000</v>
      </c>
      <c r="C10" s="315" t="inlineStr">
        <is>
          <t>Fee base / margin check. Used as actual T12 benchmark.</t>
        </is>
      </c>
      <c r="D10" s="221" t="n"/>
    </row>
    <row r="11" ht="33.95" customFormat="1" customHeight="1" s="248">
      <c r="A11" s="317" t="inlineStr">
        <is>
          <t>Repairs &amp; Maintenance</t>
        </is>
      </c>
      <c r="B11" s="318" t="n">
        <v>70700</v>
      </c>
      <c r="C11" s="319" t="inlineStr">
        <is>
          <t>Total Repairs and Maintenance section of the RM T12.</t>
        </is>
      </c>
      <c r="D11" s="221" t="n"/>
    </row>
    <row r="12" ht="33.95" customFormat="1" customHeight="1" s="248">
      <c r="A12" s="317" t="inlineStr">
        <is>
          <t>Turnover Costs</t>
        </is>
      </c>
      <c r="B12" s="318" t="n">
        <v>26600</v>
      </c>
      <c r="C12" s="319" t="inlineStr">
        <is>
          <t>Total Turnover Costs section of the RM T12.</t>
        </is>
      </c>
      <c r="D12" s="221" t="n"/>
    </row>
    <row r="13" ht="33.95" customFormat="1" customHeight="1" s="248">
      <c r="A13" s="317" t="inlineStr">
        <is>
          <t>Labor Costs (Payroll)</t>
        </is>
      </c>
      <c r="B13" s="318" t="n">
        <v>123000</v>
      </c>
      <c r="C13" s="319" t="inlineStr">
        <is>
          <t>Total Labor Costs section of the RM T12.</t>
        </is>
      </c>
      <c r="D13" s="221" t="n"/>
    </row>
    <row r="14" ht="33.95" customFormat="1" customHeight="1" s="248">
      <c r="A14" s="317" t="inlineStr">
        <is>
          <t>Advertising &amp; Promotions</t>
        </is>
      </c>
      <c r="B14" s="318" t="n">
        <v>15800</v>
      </c>
      <c r="C14" s="319" t="inlineStr">
        <is>
          <t>Total Advertising and Promotions section of the RM T12.</t>
        </is>
      </c>
      <c r="D14" s="221" t="n"/>
    </row>
    <row r="15" ht="33.95" customFormat="1" customHeight="1" s="248">
      <c r="A15" s="317" t="inlineStr">
        <is>
          <t>General &amp; Administrative</t>
        </is>
      </c>
      <c r="B15" s="318" t="n">
        <v>27700</v>
      </c>
      <c r="C15" s="319" t="inlineStr">
        <is>
          <t>Total General and Administrative Costs section of the RM T12.</t>
        </is>
      </c>
      <c r="D15" s="221" t="n"/>
    </row>
    <row r="16" ht="33.95" customHeight="1" s="234">
      <c r="A16" s="320" t="inlineStr">
        <is>
          <t>Controllable Expenses</t>
        </is>
      </c>
      <c r="B16" s="321" t="n">
        <v>263800</v>
      </c>
      <c r="C16" s="322" t="inlineStr">
        <is>
          <t>Sum of the five sections above. Pro forma expense base — each section grows 3%/yr (or uses its benchmark).</t>
        </is>
      </c>
      <c r="D16" s="220" t="n"/>
    </row>
    <row r="17" ht="33.95" customHeight="1" s="234">
      <c r="A17" s="323" t="inlineStr">
        <is>
          <t>Utilities</t>
        </is>
      </c>
      <c r="B17" s="324" t="n">
        <v>121500</v>
      </c>
      <c r="C17" s="325" t="inlineStr">
        <is>
          <t>Pro forma expense base. Year 1 grows by 3%.</t>
        </is>
      </c>
      <c r="D17" s="220" t="n"/>
    </row>
    <row r="18" ht="33.95" customHeight="1" s="234">
      <c r="A18" s="323" t="inlineStr">
        <is>
          <t>Management Fee - actual T12</t>
        </is>
      </c>
      <c r="B18" s="324" t="n">
        <v>43085</v>
      </c>
      <c r="C18" s="325" t="inlineStr">
        <is>
          <t>Reference only. We replace with 3% of EGI.</t>
        </is>
      </c>
      <c r="D18" s="220" t="n"/>
    </row>
    <row r="19" ht="33.95" customHeight="1" s="234">
      <c r="A19" s="323" t="inlineStr">
        <is>
          <t>Insurance</t>
        </is>
      </c>
      <c r="B19" s="324" t="n">
        <v>91800</v>
      </c>
      <c r="C19" s="325" t="inlineStr">
        <is>
          <t>Pro forma expense base. Year 1 grows by 3%.</t>
        </is>
      </c>
      <c r="D19" s="220" t="n"/>
    </row>
    <row r="20" ht="33.95" customHeight="1" s="234">
      <c r="A20" s="323" t="inlineStr">
        <is>
          <t>Property Taxes - actual T12</t>
        </is>
      </c>
      <c r="B20" s="324" t="n">
        <v>165400</v>
      </c>
      <c r="C20" s="325" t="inlineStr">
        <is>
          <t>Reference only. We replace with county sale-reset tax estimate.</t>
        </is>
      </c>
      <c r="D20" s="220" t="n"/>
    </row>
    <row r="21" ht="33.95" customHeight="1" s="234">
      <c r="A21" s="323" t="inlineStr">
        <is>
          <t>Other Property Expenses</t>
        </is>
      </c>
      <c r="B21" s="324" t="n">
        <v>22000</v>
      </c>
      <c r="C21" s="325" t="inlineStr">
        <is>
          <t>Pro forma expense base. Year 1 grows by 3%.</t>
        </is>
      </c>
      <c r="D21" s="220" t="n"/>
    </row>
    <row r="22" ht="33.95" customHeight="1" s="234">
      <c r="A22" s="326" t="inlineStr">
        <is>
          <t>Total Operating Expenses</t>
        </is>
      </c>
      <c r="B22" s="327" t="n">
        <v>707585</v>
      </c>
      <c r="C22" s="326" t="inlineStr">
        <is>
          <t>Actual expense benchmark. Source T12 number.</t>
        </is>
      </c>
      <c r="D22" s="221" t="n"/>
    </row>
    <row r="23" ht="33.95" customHeight="1" s="234">
      <c r="A23" s="328" t="inlineStr">
        <is>
          <t>Net Operating Income (NOI)</t>
        </is>
      </c>
      <c r="B23" s="329" t="n">
        <v>523415</v>
      </c>
      <c r="C23" s="328" t="inlineStr">
        <is>
          <t>Purchase price. Purchase price = this NOI / 5.5% cap.</t>
        </is>
      </c>
      <c r="D23" s="221" t="n"/>
    </row>
    <row r="24" ht="33.95" customHeight="1" s="234">
      <c r="A24" s="330" t="inlineStr">
        <is>
          <t>Actual Vacancy Loss</t>
        </is>
      </c>
      <c r="B24" s="331" t="n">
        <v>-84900</v>
      </c>
      <c r="C24" s="330" t="inlineStr">
        <is>
          <t>Reference only. Underwriting uses current rent roll occupancy.</t>
        </is>
      </c>
      <c r="D24" s="220" t="n"/>
      <c r="F24" s="248" t="n"/>
      <c r="G24" s="248" t="n"/>
      <c r="H24" s="248" t="n"/>
      <c r="I24" s="248" t="n"/>
      <c r="J24" s="248" t="n"/>
      <c r="K24" s="248" t="n"/>
      <c r="L24" s="248" t="n"/>
      <c r="M24" s="248" t="n"/>
      <c r="N24" s="248" t="n"/>
      <c r="O24" s="248" t="n"/>
      <c r="P24" s="248" t="n"/>
    </row>
    <row r="25" ht="33.95" customHeight="1" s="234">
      <c r="A25" s="330" t="inlineStr">
        <is>
          <t>Actual Bad Debt - net</t>
        </is>
      </c>
      <c r="B25" s="331" t="n">
        <v>-12400</v>
      </c>
      <c r="C25" s="330" t="inlineStr">
        <is>
          <t>Reference only. Underwriting overrides to 2% bad debt.</t>
        </is>
      </c>
      <c r="D25" s="220" t="n"/>
      <c r="F25" s="248" t="n"/>
      <c r="G25" s="248" t="n"/>
      <c r="H25" s="248" t="n"/>
      <c r="I25" s="248" t="n"/>
      <c r="J25" s="248" t="n"/>
      <c r="K25" s="248" t="n"/>
      <c r="L25" s="248" t="n"/>
      <c r="M25" s="248" t="n"/>
      <c r="N25" s="248" t="n"/>
      <c r="O25" s="248" t="n"/>
      <c r="P25" s="248" t="n"/>
    </row>
    <row r="26" ht="33.95" customHeight="1" s="234">
      <c r="A26" s="330" t="inlineStr">
        <is>
          <t>Actual Concessions - net</t>
        </is>
      </c>
      <c r="B26" s="332" t="n">
        <v>-11800</v>
      </c>
      <c r="C26" s="330" t="inlineStr">
        <is>
          <t>Used as a deduction ratio. Converted to % of GPR for underwriting.</t>
        </is>
      </c>
      <c r="D26" s="220" t="n"/>
      <c r="F26" s="248" t="n"/>
      <c r="G26" s="248" t="n"/>
      <c r="H26" s="248" t="n"/>
      <c r="I26" s="248" t="n"/>
      <c r="J26" s="248" t="n"/>
      <c r="K26" s="248" t="n"/>
      <c r="L26" s="248" t="n"/>
      <c r="M26" s="248" t="n"/>
      <c r="N26" s="248" t="n"/>
      <c r="O26" s="248" t="n"/>
      <c r="P26" s="248" t="n"/>
    </row>
    <row r="27"/>
    <row r="28" ht="24" customHeight="1" s="234">
      <c r="A28" s="312" t="inlineStr">
        <is>
          <t>Raw monthly account detail below - use this only if you need to trace the T12 summary back to individual account lines.</t>
        </is>
      </c>
      <c r="B28" s="244" t="n"/>
      <c r="C28" s="244" t="n"/>
      <c r="D28" s="244" t="n"/>
      <c r="E28" s="244" t="n"/>
      <c r="F28" s="244" t="n"/>
      <c r="G28" s="244" t="n"/>
      <c r="H28" s="244" t="n"/>
      <c r="I28" s="244" t="n"/>
      <c r="J28" s="244" t="n"/>
      <c r="K28" s="244" t="n"/>
      <c r="L28" s="244" t="n"/>
      <c r="M28" s="244" t="n"/>
      <c r="N28" s="244" t="n"/>
      <c r="O28" s="244" t="n"/>
      <c r="P28" s="244" t="n"/>
      <c r="Q28" s="245" t="n"/>
    </row>
    <row r="29" ht="21.95" customHeight="1" s="234">
      <c r="A29" s="333" t="inlineStr">
        <is>
          <t>Source Row</t>
        </is>
      </c>
      <c r="B29" s="333" t="inlineStr">
        <is>
          <t>Account</t>
        </is>
      </c>
      <c r="C29" s="333" t="inlineStr">
        <is>
          <t>Label</t>
        </is>
      </c>
      <c r="D29" s="333" t="inlineStr">
        <is>
          <t>Oct 2025</t>
        </is>
      </c>
      <c r="E29" s="333" t="inlineStr">
        <is>
          <t>Nov 2025</t>
        </is>
      </c>
      <c r="F29" s="333" t="inlineStr">
        <is>
          <t>Dec 2025</t>
        </is>
      </c>
      <c r="G29" s="333" t="inlineStr">
        <is>
          <t>Jan 2026</t>
        </is>
      </c>
      <c r="H29" s="333" t="inlineStr">
        <is>
          <t>Feb 2026</t>
        </is>
      </c>
      <c r="I29" s="333" t="inlineStr">
        <is>
          <t>Mar 2026</t>
        </is>
      </c>
      <c r="J29" s="333" t="inlineStr">
        <is>
          <t>Apr 2026</t>
        </is>
      </c>
      <c r="K29" s="333" t="inlineStr">
        <is>
          <t>May 2026</t>
        </is>
      </c>
      <c r="L29" s="333" t="inlineStr">
        <is>
          <t>Jun 2026</t>
        </is>
      </c>
      <c r="M29" s="333" t="inlineStr">
        <is>
          <t>Jul 2026</t>
        </is>
      </c>
      <c r="N29" s="333" t="inlineStr">
        <is>
          <t>Aug 2026</t>
        </is>
      </c>
      <c r="O29" s="333" t="inlineStr">
        <is>
          <t>Sep 2026</t>
        </is>
      </c>
      <c r="P29" s="333" t="inlineStr">
        <is>
          <t>Total</t>
        </is>
      </c>
      <c r="Q29" s="333" t="inlineStr">
        <is>
          <t>Category</t>
        </is>
      </c>
    </row>
    <row r="30">
      <c r="A30" s="70" t="n">
        <v>7</v>
      </c>
      <c r="B30" s="71" t="n"/>
      <c r="C30" s="71" t="inlineStr">
        <is>
          <t>INCOME</t>
        </is>
      </c>
      <c r="D30" s="72" t="n"/>
      <c r="E30" s="72" t="n"/>
      <c r="F30" s="72" t="n"/>
      <c r="G30" s="72" t="n"/>
      <c r="H30" s="72" t="n"/>
      <c r="I30" s="72" t="n"/>
      <c r="J30" s="72" t="n"/>
      <c r="K30" s="72" t="n"/>
      <c r="L30" s="72" t="n"/>
      <c r="M30" s="72" t="n"/>
      <c r="N30" s="72" t="n"/>
      <c r="O30" s="72" t="n"/>
      <c r="P30" s="72">
        <f>SUM(D30:O30)</f>
        <v>0</v>
      </c>
      <c r="Q30" s="73" t="n"/>
    </row>
    <row r="31">
      <c r="A31" s="74" t="n">
        <v>8</v>
      </c>
      <c r="B31" s="75" t="n"/>
      <c r="C31" s="75" t="inlineStr">
        <is>
          <t>Rental Income</t>
        </is>
      </c>
      <c r="D31" s="76" t="n"/>
      <c r="E31" s="76" t="n"/>
      <c r="F31" s="76" t="n"/>
      <c r="G31" s="76" t="n"/>
      <c r="H31" s="76" t="n"/>
      <c r="I31" s="76" t="n"/>
      <c r="J31" s="76" t="n"/>
      <c r="K31" s="76" t="n"/>
      <c r="L31" s="76" t="n"/>
      <c r="M31" s="76" t="n"/>
      <c r="N31" s="76" t="n"/>
      <c r="O31" s="76" t="n"/>
      <c r="P31" s="76">
        <f>SUM(D31:O31)</f>
        <v>0</v>
      </c>
      <c r="Q31" s="77" t="n"/>
    </row>
    <row r="32">
      <c r="A32" s="74" t="n">
        <v>9</v>
      </c>
      <c r="B32" s="75" t="inlineStr">
        <is>
          <t>4000-00</t>
        </is>
      </c>
      <c r="C32" s="75" t="inlineStr">
        <is>
          <t>Gross Potential Rent</t>
        </is>
      </c>
      <c r="D32" s="76" t="n">
        <v>105210</v>
      </c>
      <c r="E32" s="76" t="n">
        <v>105862</v>
      </c>
      <c r="F32" s="76" t="n">
        <v>106515</v>
      </c>
      <c r="G32" s="76" t="n">
        <v>107168</v>
      </c>
      <c r="H32" s="76" t="n">
        <v>107821</v>
      </c>
      <c r="I32" s="76" t="n">
        <v>108474</v>
      </c>
      <c r="J32" s="76" t="n">
        <v>109126</v>
      </c>
      <c r="K32" s="76" t="n">
        <v>109779</v>
      </c>
      <c r="L32" s="76" t="n">
        <v>110432</v>
      </c>
      <c r="M32" s="76" t="n">
        <v>111085</v>
      </c>
      <c r="N32" s="76" t="n">
        <v>111738</v>
      </c>
      <c r="O32" s="76" t="n">
        <v>112390</v>
      </c>
      <c r="P32" s="76">
        <f>SUM(D32:O32)</f>
        <v>1305600</v>
      </c>
      <c r="Q32" s="77" t="n"/>
    </row>
    <row r="33">
      <c r="A33" s="74" t="n">
        <v>10</v>
      </c>
      <c r="B33" s="75" t="n"/>
      <c r="C33" s="75" t="inlineStr">
        <is>
          <t>Total Gross Potential Rent</t>
        </is>
      </c>
      <c r="D33" s="76" t="n">
        <v>105210</v>
      </c>
      <c r="E33" s="76" t="n">
        <v>105862</v>
      </c>
      <c r="F33" s="76" t="n">
        <v>106515</v>
      </c>
      <c r="G33" s="76" t="n">
        <v>107168</v>
      </c>
      <c r="H33" s="76" t="n">
        <v>107821</v>
      </c>
      <c r="I33" s="76" t="n">
        <v>108474</v>
      </c>
      <c r="J33" s="76" t="n">
        <v>109126</v>
      </c>
      <c r="K33" s="76" t="n">
        <v>109779</v>
      </c>
      <c r="L33" s="76" t="n">
        <v>110432</v>
      </c>
      <c r="M33" s="76" t="n">
        <v>111085</v>
      </c>
      <c r="N33" s="76" t="n">
        <v>111738</v>
      </c>
      <c r="O33" s="76" t="n">
        <v>112390</v>
      </c>
      <c r="P33" s="76">
        <f>SUM(D33:O33)</f>
        <v>1305600</v>
      </c>
      <c r="Q33" s="77" t="n"/>
    </row>
    <row r="34">
      <c r="A34" s="74" t="n">
        <v>11</v>
      </c>
      <c r="B34" s="75" t="inlineStr">
        <is>
          <t>4510-00</t>
        </is>
      </c>
      <c r="C34" s="75" t="inlineStr">
        <is>
          <t>Vacancy Loss</t>
        </is>
      </c>
      <c r="D34" s="76" t="n">
        <v>-7090</v>
      </c>
      <c r="E34" s="76" t="n">
        <v>-6109</v>
      </c>
      <c r="F34" s="76" t="n">
        <v>-6828</v>
      </c>
      <c r="G34" s="76" t="n">
        <v>-6246</v>
      </c>
      <c r="H34" s="76" t="n">
        <v>-7784</v>
      </c>
      <c r="I34" s="76" t="n">
        <v>-6308</v>
      </c>
      <c r="J34" s="76" t="n">
        <v>-7052</v>
      </c>
      <c r="K34" s="76" t="n">
        <v>-7921</v>
      </c>
      <c r="L34" s="76" t="n">
        <v>-7122</v>
      </c>
      <c r="M34" s="76" t="n">
        <v>-8087</v>
      </c>
      <c r="N34" s="76" t="n">
        <v>-6093</v>
      </c>
      <c r="O34" s="76" t="n">
        <v>-8260</v>
      </c>
      <c r="P34" s="76">
        <f>SUM(D34:O34)</f>
        <v>-84900</v>
      </c>
      <c r="Q34" s="77" t="n"/>
    </row>
    <row r="35" ht="15" customHeight="1" s="234">
      <c r="A35" s="334" t="n">
        <v>12</v>
      </c>
      <c r="B35" s="335" t="inlineStr">
        <is>
          <t>4510-01</t>
        </is>
      </c>
      <c r="C35" s="335" t="inlineStr">
        <is>
          <t>Vacancy - Model/Down Units</t>
        </is>
      </c>
      <c r="D35" s="336" t="n">
        <v>0</v>
      </c>
      <c r="E35" s="336" t="n">
        <v>0</v>
      </c>
      <c r="F35" s="336" t="n">
        <v>0</v>
      </c>
      <c r="G35" s="336" t="n">
        <v>0</v>
      </c>
      <c r="H35" s="336" t="n">
        <v>0</v>
      </c>
      <c r="I35" s="336" t="n">
        <v>0</v>
      </c>
      <c r="J35" s="336" t="n">
        <v>0</v>
      </c>
      <c r="K35" s="336" t="n">
        <v>0</v>
      </c>
      <c r="L35" s="336" t="n">
        <v>0</v>
      </c>
      <c r="M35" s="336" t="n">
        <v>0</v>
      </c>
      <c r="N35" s="336" t="n">
        <v>0</v>
      </c>
      <c r="O35" s="336" t="n">
        <v>0</v>
      </c>
      <c r="P35" s="336">
        <f>SUM(D35:O35)</f>
        <v>0</v>
      </c>
      <c r="Q35" s="337" t="n"/>
    </row>
    <row r="36">
      <c r="A36" s="74" t="n">
        <v>13</v>
      </c>
      <c r="B36" s="75" t="inlineStr">
        <is>
          <t>4520-00</t>
        </is>
      </c>
      <c r="C36" s="75" t="inlineStr">
        <is>
          <t>Loss to Lease</t>
        </is>
      </c>
      <c r="D36" s="76" t="n">
        <v>-4722</v>
      </c>
      <c r="E36" s="76" t="n">
        <v>-4711</v>
      </c>
      <c r="F36" s="76" t="n">
        <v>-4569</v>
      </c>
      <c r="G36" s="76" t="n">
        <v>-4675</v>
      </c>
      <c r="H36" s="76" t="n">
        <v>-4900</v>
      </c>
      <c r="I36" s="76" t="n">
        <v>-5024</v>
      </c>
      <c r="J36" s="76" t="n">
        <v>-4981</v>
      </c>
      <c r="K36" s="76" t="n">
        <v>-4797</v>
      </c>
      <c r="L36" s="76" t="n">
        <v>-4697</v>
      </c>
      <c r="M36" s="76" t="n">
        <v>-4728</v>
      </c>
      <c r="N36" s="76" t="n">
        <v>-5028</v>
      </c>
      <c r="O36" s="76" t="n">
        <v>-4568</v>
      </c>
      <c r="P36" s="76">
        <f>SUM(D36:O36)</f>
        <v>-57400</v>
      </c>
      <c r="Q36" s="77" t="n"/>
    </row>
    <row r="37">
      <c r="A37" s="74" t="n">
        <v>14</v>
      </c>
      <c r="B37" s="75" t="inlineStr">
        <is>
          <t>4530-00</t>
        </is>
      </c>
      <c r="C37" s="75" t="inlineStr">
        <is>
          <t>Concessions</t>
        </is>
      </c>
      <c r="D37" s="76" t="n">
        <v>-830</v>
      </c>
      <c r="E37" s="76" t="n">
        <v>-1002</v>
      </c>
      <c r="F37" s="76" t="n">
        <v>-929</v>
      </c>
      <c r="G37" s="76" t="n">
        <v>-646</v>
      </c>
      <c r="H37" s="76" t="n">
        <v>-879</v>
      </c>
      <c r="I37" s="76" t="n">
        <v>-953</v>
      </c>
      <c r="J37" s="76" t="n">
        <v>-709</v>
      </c>
      <c r="K37" s="76" t="n">
        <v>-824</v>
      </c>
      <c r="L37" s="76" t="n">
        <v>-1250</v>
      </c>
      <c r="M37" s="76" t="n">
        <v>-1497</v>
      </c>
      <c r="N37" s="76" t="n">
        <v>-1258</v>
      </c>
      <c r="O37" s="76" t="n">
        <v>-1023</v>
      </c>
      <c r="P37" s="76">
        <f>SUM(D37:O37)</f>
        <v>-11800</v>
      </c>
      <c r="Q37" s="77" t="n"/>
    </row>
    <row r="38">
      <c r="A38" s="74" t="n">
        <v>15</v>
      </c>
      <c r="B38" s="75" t="inlineStr">
        <is>
          <t>4535-00</t>
        </is>
      </c>
      <c r="C38" s="75" t="inlineStr">
        <is>
          <t>Concessions - Other</t>
        </is>
      </c>
      <c r="D38" s="76" t="n">
        <v>0</v>
      </c>
      <c r="E38" s="76" t="n">
        <v>0</v>
      </c>
      <c r="F38" s="76" t="n">
        <v>0</v>
      </c>
      <c r="G38" s="76" t="n">
        <v>0</v>
      </c>
      <c r="H38" s="76" t="n">
        <v>0</v>
      </c>
      <c r="I38" s="76" t="n">
        <v>0</v>
      </c>
      <c r="J38" s="76" t="n">
        <v>0</v>
      </c>
      <c r="K38" s="76" t="n">
        <v>0</v>
      </c>
      <c r="L38" s="76" t="n">
        <v>0</v>
      </c>
      <c r="M38" s="76" t="n">
        <v>0</v>
      </c>
      <c r="N38" s="76" t="n">
        <v>0</v>
      </c>
      <c r="O38" s="76" t="n">
        <v>0</v>
      </c>
      <c r="P38" s="76">
        <f>SUM(D38:O38)</f>
        <v>0</v>
      </c>
      <c r="Q38" s="77" t="n"/>
    </row>
    <row r="39">
      <c r="A39" s="74" t="n">
        <v>16</v>
      </c>
      <c r="B39" s="75" t="inlineStr">
        <is>
          <t>4540-00</t>
        </is>
      </c>
      <c r="C39" s="75" t="inlineStr">
        <is>
          <t>Bad Debt Write-offs</t>
        </is>
      </c>
      <c r="D39" s="76" t="n">
        <v>-1455</v>
      </c>
      <c r="E39" s="76" t="n">
        <v>-986</v>
      </c>
      <c r="F39" s="76" t="n">
        <v>-1103</v>
      </c>
      <c r="G39" s="76" t="n">
        <v>-1411</v>
      </c>
      <c r="H39" s="76" t="n">
        <v>-1007</v>
      </c>
      <c r="I39" s="76" t="n">
        <v>-1220</v>
      </c>
      <c r="J39" s="76" t="n">
        <v>-951</v>
      </c>
      <c r="K39" s="76" t="n">
        <v>-1239</v>
      </c>
      <c r="L39" s="76" t="n">
        <v>-1964</v>
      </c>
      <c r="M39" s="76" t="n">
        <v>-2006</v>
      </c>
      <c r="N39" s="76" t="n">
        <v>-996</v>
      </c>
      <c r="O39" s="76" t="n">
        <v>-962</v>
      </c>
      <c r="P39" s="76">
        <f>SUM(D39:O39)</f>
        <v>-15300</v>
      </c>
      <c r="Q39" s="77" t="n"/>
    </row>
    <row r="40">
      <c r="A40" s="74" t="n">
        <v>17</v>
      </c>
      <c r="B40" s="75" t="inlineStr">
        <is>
          <t>4545-00</t>
        </is>
      </c>
      <c r="C40" s="75" t="inlineStr">
        <is>
          <t>Bad Debt Recovery</t>
        </is>
      </c>
      <c r="D40" s="76" t="n">
        <v>316</v>
      </c>
      <c r="E40" s="76" t="n">
        <v>316</v>
      </c>
      <c r="F40" s="76" t="n">
        <v>339</v>
      </c>
      <c r="G40" s="76" t="n">
        <v>160</v>
      </c>
      <c r="H40" s="76" t="n">
        <v>219</v>
      </c>
      <c r="I40" s="76" t="n">
        <v>187</v>
      </c>
      <c r="J40" s="76" t="n">
        <v>182</v>
      </c>
      <c r="K40" s="76" t="n">
        <v>264</v>
      </c>
      <c r="L40" s="76" t="n">
        <v>255</v>
      </c>
      <c r="M40" s="76" t="n">
        <v>260</v>
      </c>
      <c r="N40" s="76" t="n">
        <v>138</v>
      </c>
      <c r="O40" s="76" t="n">
        <v>264</v>
      </c>
      <c r="P40" s="76">
        <f>SUM(D40:O40)</f>
        <v>2900</v>
      </c>
      <c r="Q40" s="77" t="n"/>
    </row>
    <row r="41">
      <c r="A41" s="74" t="n">
        <v>18</v>
      </c>
      <c r="B41" s="75" t="n"/>
      <c r="C41" s="75" t="inlineStr">
        <is>
          <t>Total Deductions</t>
        </is>
      </c>
      <c r="D41" s="76" t="n">
        <v>-13781</v>
      </c>
      <c r="E41" s="76" t="n">
        <v>-12492</v>
      </c>
      <c r="F41" s="76" t="n">
        <v>-13090</v>
      </c>
      <c r="G41" s="76" t="n">
        <v>-12818</v>
      </c>
      <c r="H41" s="76" t="n">
        <v>-14351</v>
      </c>
      <c r="I41" s="76" t="n">
        <v>-13318</v>
      </c>
      <c r="J41" s="76" t="n">
        <v>-13511</v>
      </c>
      <c r="K41" s="76" t="n">
        <v>-14517</v>
      </c>
      <c r="L41" s="76" t="n">
        <v>-14778</v>
      </c>
      <c r="M41" s="76" t="n">
        <v>-16058</v>
      </c>
      <c r="N41" s="76" t="n">
        <v>-13237</v>
      </c>
      <c r="O41" s="76" t="n">
        <v>-14549</v>
      </c>
      <c r="P41" s="76">
        <f>SUM(D41:O41)</f>
        <v>-166500</v>
      </c>
      <c r="Q41" s="77" t="n"/>
    </row>
    <row r="42">
      <c r="A42" s="74" t="n">
        <v>19</v>
      </c>
      <c r="B42" s="75" t="n"/>
      <c r="C42" s="75" t="inlineStr">
        <is>
          <t>Net Rental Income</t>
        </is>
      </c>
      <c r="D42" s="76" t="n">
        <v>91429</v>
      </c>
      <c r="E42" s="76" t="n">
        <v>93370</v>
      </c>
      <c r="F42" s="76" t="n">
        <v>93425</v>
      </c>
      <c r="G42" s="76" t="n">
        <v>94350</v>
      </c>
      <c r="H42" s="76" t="n">
        <v>93470</v>
      </c>
      <c r="I42" s="76" t="n">
        <v>95156</v>
      </c>
      <c r="J42" s="76" t="n">
        <v>95615</v>
      </c>
      <c r="K42" s="76" t="n">
        <v>95262</v>
      </c>
      <c r="L42" s="76" t="n">
        <v>95654</v>
      </c>
      <c r="M42" s="76" t="n">
        <v>95027</v>
      </c>
      <c r="N42" s="76" t="n">
        <v>98501</v>
      </c>
      <c r="O42" s="76" t="n">
        <v>97841</v>
      </c>
      <c r="P42" s="76">
        <f>SUM(D42:O42)</f>
        <v>1139100</v>
      </c>
      <c r="Q42" s="77" t="n"/>
    </row>
    <row r="43">
      <c r="A43" s="74" t="n">
        <v>20</v>
      </c>
      <c r="B43" s="75" t="n"/>
      <c r="C43" s="75" t="inlineStr">
        <is>
          <t>Other Income</t>
        </is>
      </c>
      <c r="D43" s="76" t="n"/>
      <c r="E43" s="76" t="n"/>
      <c r="F43" s="76" t="n"/>
      <c r="G43" s="76" t="n"/>
      <c r="H43" s="76" t="n"/>
      <c r="I43" s="76" t="n"/>
      <c r="J43" s="76" t="n"/>
      <c r="K43" s="76" t="n"/>
      <c r="L43" s="76" t="n"/>
      <c r="M43" s="76" t="n"/>
      <c r="N43" s="76" t="n"/>
      <c r="O43" s="76" t="n"/>
      <c r="P43" s="76">
        <f>SUM(D43:O43)</f>
        <v>0</v>
      </c>
      <c r="Q43" s="77" t="n"/>
    </row>
    <row r="44" ht="15" customHeight="1" s="234">
      <c r="A44" s="334" t="n">
        <v>21</v>
      </c>
      <c r="B44" s="335" t="inlineStr">
        <is>
          <t>4700-00</t>
        </is>
      </c>
      <c r="C44" s="335" t="inlineStr">
        <is>
          <t>Utility Reimbursement (RUBS)</t>
        </is>
      </c>
      <c r="D44" s="336" t="n">
        <v>3744</v>
      </c>
      <c r="E44" s="336" t="n">
        <v>3824</v>
      </c>
      <c r="F44" s="336" t="n">
        <v>3835</v>
      </c>
      <c r="G44" s="336" t="n">
        <v>3744</v>
      </c>
      <c r="H44" s="336" t="n">
        <v>3755</v>
      </c>
      <c r="I44" s="336" t="n">
        <v>4744</v>
      </c>
      <c r="J44" s="336" t="n">
        <v>4801</v>
      </c>
      <c r="K44" s="336" t="n">
        <v>4496</v>
      </c>
      <c r="L44" s="336" t="n">
        <v>4645</v>
      </c>
      <c r="M44" s="336" t="n">
        <v>4576</v>
      </c>
      <c r="N44" s="336" t="n">
        <v>3861</v>
      </c>
      <c r="O44" s="336" t="n">
        <v>3775</v>
      </c>
      <c r="P44" s="336">
        <f>SUM(D44:O44)</f>
        <v>49800</v>
      </c>
      <c r="Q44" s="337" t="n"/>
    </row>
    <row r="45" ht="15" customHeight="1" s="234">
      <c r="A45" s="334" t="n">
        <v>22</v>
      </c>
      <c r="B45" s="335" t="inlineStr">
        <is>
          <t>4710-00</t>
        </is>
      </c>
      <c r="C45" s="335" t="inlineStr">
        <is>
          <t>Late Fees</t>
        </is>
      </c>
      <c r="D45" s="336" t="n">
        <v>709</v>
      </c>
      <c r="E45" s="336" t="n">
        <v>749</v>
      </c>
      <c r="F45" s="336" t="n">
        <v>909</v>
      </c>
      <c r="G45" s="336" t="n">
        <v>658</v>
      </c>
      <c r="H45" s="336" t="n">
        <v>801</v>
      </c>
      <c r="I45" s="336" t="n">
        <v>736</v>
      </c>
      <c r="J45" s="336" t="n">
        <v>646</v>
      </c>
      <c r="K45" s="336" t="n">
        <v>760</v>
      </c>
      <c r="L45" s="336" t="n">
        <v>892</v>
      </c>
      <c r="M45" s="336" t="n">
        <v>915</v>
      </c>
      <c r="N45" s="336" t="n">
        <v>877</v>
      </c>
      <c r="O45" s="336" t="n">
        <v>648</v>
      </c>
      <c r="P45" s="336">
        <f>SUM(D45:O45)</f>
        <v>9300</v>
      </c>
      <c r="Q45" s="337" t="n"/>
    </row>
    <row r="46">
      <c r="A46" s="74" t="n">
        <v>23</v>
      </c>
      <c r="B46" s="75" t="inlineStr">
        <is>
          <t>4720-00</t>
        </is>
      </c>
      <c r="C46" s="75" t="inlineStr">
        <is>
          <t>Application and Admin Fees</t>
        </is>
      </c>
      <c r="D46" s="76" t="n">
        <v>564</v>
      </c>
      <c r="E46" s="76" t="n">
        <v>582</v>
      </c>
      <c r="F46" s="76" t="n">
        <v>547</v>
      </c>
      <c r="G46" s="76" t="n">
        <v>558</v>
      </c>
      <c r="H46" s="76" t="n">
        <v>608</v>
      </c>
      <c r="I46" s="76" t="n">
        <v>568</v>
      </c>
      <c r="J46" s="76" t="n">
        <v>465</v>
      </c>
      <c r="K46" s="76" t="n">
        <v>583</v>
      </c>
      <c r="L46" s="76" t="n">
        <v>577</v>
      </c>
      <c r="M46" s="76" t="n">
        <v>787</v>
      </c>
      <c r="N46" s="76" t="n">
        <v>611</v>
      </c>
      <c r="O46" s="76" t="n">
        <v>450</v>
      </c>
      <c r="P46" s="76">
        <f>SUM(D46:O46)</f>
        <v>6900</v>
      </c>
      <c r="Q46" s="77" t="n"/>
    </row>
    <row r="47">
      <c r="A47" s="74" t="n">
        <v>24</v>
      </c>
      <c r="B47" s="75" t="inlineStr">
        <is>
          <t>4730-00</t>
        </is>
      </c>
      <c r="C47" s="75" t="inlineStr">
        <is>
          <t>Pet Rent and Fees</t>
        </is>
      </c>
      <c r="D47" s="76" t="n">
        <v>1077</v>
      </c>
      <c r="E47" s="76" t="n">
        <v>1107</v>
      </c>
      <c r="F47" s="76" t="n">
        <v>1055</v>
      </c>
      <c r="G47" s="76" t="n">
        <v>1097</v>
      </c>
      <c r="H47" s="76" t="n">
        <v>1132</v>
      </c>
      <c r="I47" s="76" t="n">
        <v>1056</v>
      </c>
      <c r="J47" s="76" t="n">
        <v>1030</v>
      </c>
      <c r="K47" s="76" t="n">
        <v>1174</v>
      </c>
      <c r="L47" s="76" t="n">
        <v>1164</v>
      </c>
      <c r="M47" s="76" t="n">
        <v>1154</v>
      </c>
      <c r="N47" s="76" t="n">
        <v>1061</v>
      </c>
      <c r="O47" s="76" t="n">
        <v>1093</v>
      </c>
      <c r="P47" s="76">
        <f>SUM(D47:O47)</f>
        <v>13200</v>
      </c>
      <c r="Q47" s="77" t="n"/>
    </row>
    <row r="48">
      <c r="A48" s="74" t="n">
        <v>25</v>
      </c>
      <c r="B48" s="75" t="inlineStr">
        <is>
          <t>4740-00</t>
        </is>
      </c>
      <c r="C48" s="75" t="inlineStr">
        <is>
          <t>Laundry and Vending</t>
        </is>
      </c>
      <c r="D48" s="76" t="n">
        <v>349</v>
      </c>
      <c r="E48" s="76" t="n">
        <v>323</v>
      </c>
      <c r="F48" s="76" t="n">
        <v>319</v>
      </c>
      <c r="G48" s="76" t="n">
        <v>331</v>
      </c>
      <c r="H48" s="76" t="n">
        <v>330</v>
      </c>
      <c r="I48" s="76" t="n">
        <v>342</v>
      </c>
      <c r="J48" s="76" t="n">
        <v>373</v>
      </c>
      <c r="K48" s="76" t="n">
        <v>338</v>
      </c>
      <c r="L48" s="76" t="n">
        <v>317</v>
      </c>
      <c r="M48" s="76" t="n">
        <v>362</v>
      </c>
      <c r="N48" s="76" t="n">
        <v>372</v>
      </c>
      <c r="O48" s="76" t="n">
        <v>344</v>
      </c>
      <c r="P48" s="76">
        <f>SUM(D48:O48)</f>
        <v>4100</v>
      </c>
      <c r="Q48" s="77" t="n"/>
    </row>
    <row r="49">
      <c r="A49" s="74" t="n">
        <v>26</v>
      </c>
      <c r="B49" s="75" t="inlineStr">
        <is>
          <t>4750-00</t>
        </is>
      </c>
      <c r="C49" s="75" t="inlineStr">
        <is>
          <t>Parking, Storage and Other</t>
        </is>
      </c>
      <c r="D49" s="76" t="n">
        <v>809</v>
      </c>
      <c r="E49" s="76" t="n">
        <v>732</v>
      </c>
      <c r="F49" s="76" t="n">
        <v>702</v>
      </c>
      <c r="G49" s="76" t="n">
        <v>727</v>
      </c>
      <c r="H49" s="76" t="n">
        <v>831</v>
      </c>
      <c r="I49" s="76" t="n">
        <v>674</v>
      </c>
      <c r="J49" s="76" t="n">
        <v>650</v>
      </c>
      <c r="K49" s="76" t="n">
        <v>633</v>
      </c>
      <c r="L49" s="76" t="n">
        <v>686</v>
      </c>
      <c r="M49" s="76" t="n">
        <v>713</v>
      </c>
      <c r="N49" s="76" t="n">
        <v>643</v>
      </c>
      <c r="O49" s="76" t="n">
        <v>800</v>
      </c>
      <c r="P49" s="76">
        <f>SUM(D49:O49)</f>
        <v>8600</v>
      </c>
      <c r="Q49" s="77" t="n"/>
    </row>
    <row r="50">
      <c r="A50" s="74" t="n">
        <v>27</v>
      </c>
      <c r="B50" s="75" t="n"/>
      <c r="C50" s="75" t="inlineStr">
        <is>
          <t>Total Other Income</t>
        </is>
      </c>
      <c r="D50" s="76" t="n">
        <v>7252</v>
      </c>
      <c r="E50" s="76" t="n">
        <v>7317</v>
      </c>
      <c r="F50" s="76" t="n">
        <v>7367</v>
      </c>
      <c r="G50" s="76" t="n">
        <v>7115</v>
      </c>
      <c r="H50" s="76" t="n">
        <v>7457</v>
      </c>
      <c r="I50" s="76" t="n">
        <v>8120</v>
      </c>
      <c r="J50" s="76" t="n">
        <v>7965</v>
      </c>
      <c r="K50" s="76" t="n">
        <v>7984</v>
      </c>
      <c r="L50" s="76" t="n">
        <v>8281</v>
      </c>
      <c r="M50" s="76" t="n">
        <v>8507</v>
      </c>
      <c r="N50" s="76" t="n">
        <v>7425</v>
      </c>
      <c r="O50" s="76" t="n">
        <v>7110</v>
      </c>
      <c r="P50" s="76">
        <f>SUM(D50:O50)</f>
        <v>91900</v>
      </c>
      <c r="Q50" s="77" t="n"/>
    </row>
    <row r="51">
      <c r="A51" s="74" t="n">
        <v>28</v>
      </c>
      <c r="B51" s="75" t="n"/>
      <c r="C51" s="75" t="inlineStr">
        <is>
          <t>Total Income</t>
        </is>
      </c>
      <c r="D51" s="76" t="n">
        <v>98681</v>
      </c>
      <c r="E51" s="76" t="n">
        <v>100687</v>
      </c>
      <c r="F51" s="76" t="n">
        <v>100792</v>
      </c>
      <c r="G51" s="76" t="n">
        <v>101465</v>
      </c>
      <c r="H51" s="76" t="n">
        <v>100927</v>
      </c>
      <c r="I51" s="76" t="n">
        <v>103276</v>
      </c>
      <c r="J51" s="76" t="n">
        <v>103580</v>
      </c>
      <c r="K51" s="76" t="n">
        <v>103246</v>
      </c>
      <c r="L51" s="76" t="n">
        <v>103935</v>
      </c>
      <c r="M51" s="76" t="n">
        <v>103534</v>
      </c>
      <c r="N51" s="76" t="n">
        <v>105926</v>
      </c>
      <c r="O51" s="76" t="n">
        <v>104951</v>
      </c>
      <c r="P51" s="76">
        <f>SUM(D51:O51)</f>
        <v>1231000</v>
      </c>
      <c r="Q51" s="77" t="n"/>
    </row>
    <row r="52">
      <c r="A52" s="74" t="n">
        <v>30</v>
      </c>
      <c r="B52" s="75" t="n"/>
      <c r="C52" s="75" t="inlineStr">
        <is>
          <t>EXPENSES</t>
        </is>
      </c>
      <c r="D52" s="76" t="n"/>
      <c r="E52" s="76" t="n"/>
      <c r="F52" s="76" t="n"/>
      <c r="G52" s="76" t="n"/>
      <c r="H52" s="76" t="n"/>
      <c r="I52" s="76" t="n"/>
      <c r="J52" s="76" t="n"/>
      <c r="K52" s="76" t="n"/>
      <c r="L52" s="76" t="n"/>
      <c r="M52" s="76" t="n"/>
      <c r="N52" s="76" t="n"/>
      <c r="O52" s="76" t="n"/>
      <c r="P52" s="76">
        <f>SUM(D52:O52)</f>
        <v>0</v>
      </c>
      <c r="Q52" s="77" t="n"/>
    </row>
    <row r="53">
      <c r="A53" s="74" t="n">
        <v>31</v>
      </c>
      <c r="B53" s="75" t="n"/>
      <c r="C53" s="75" t="inlineStr">
        <is>
          <t>Controllable Expenses</t>
        </is>
      </c>
      <c r="D53" s="76" t="n"/>
      <c r="E53" s="76" t="n"/>
      <c r="F53" s="76" t="n"/>
      <c r="G53" s="76" t="n"/>
      <c r="H53" s="76" t="n"/>
      <c r="I53" s="76" t="n"/>
      <c r="J53" s="76" t="n"/>
      <c r="K53" s="76" t="n"/>
      <c r="L53" s="76" t="n"/>
      <c r="M53" s="76" t="n"/>
      <c r="N53" s="76" t="n"/>
      <c r="O53" s="76" t="n"/>
      <c r="P53" s="76">
        <f>SUM(D53:O53)</f>
        <v>0</v>
      </c>
      <c r="Q53" s="77" t="n"/>
    </row>
    <row r="54">
      <c r="A54" s="74" t="n">
        <v>32</v>
      </c>
      <c r="B54" s="75" t="inlineStr">
        <is>
          <t>6110-00</t>
        </is>
      </c>
      <c r="C54" s="75" t="inlineStr">
        <is>
          <t>Repairs - Supplies</t>
        </is>
      </c>
      <c r="D54" s="76" t="n">
        <v>1698</v>
      </c>
      <c r="E54" s="76" t="n">
        <v>2160</v>
      </c>
      <c r="F54" s="76" t="n">
        <v>1484</v>
      </c>
      <c r="G54" s="76" t="n">
        <v>1856</v>
      </c>
      <c r="H54" s="76" t="n">
        <v>1541</v>
      </c>
      <c r="I54" s="76" t="n">
        <v>2148</v>
      </c>
      <c r="J54" s="76" t="n">
        <v>1911</v>
      </c>
      <c r="K54" s="76" t="n">
        <v>1781</v>
      </c>
      <c r="L54" s="76" t="n">
        <v>1993</v>
      </c>
      <c r="M54" s="76" t="n">
        <v>1555</v>
      </c>
      <c r="N54" s="76" t="n">
        <v>2131</v>
      </c>
      <c r="O54" s="76" t="n">
        <v>2042</v>
      </c>
      <c r="P54" s="76">
        <f>SUM(D54:O54)</f>
        <v>22300</v>
      </c>
      <c r="Q54" s="77" t="n"/>
    </row>
    <row r="55">
      <c r="A55" s="74" t="n">
        <v>33</v>
      </c>
      <c r="B55" s="75" t="inlineStr">
        <is>
          <t>6120-00</t>
        </is>
      </c>
      <c r="C55" s="75" t="inlineStr">
        <is>
          <t>Contract Services (HVAC, plumbing, appliance)</t>
        </is>
      </c>
      <c r="D55" s="76" t="n">
        <v>2043</v>
      </c>
      <c r="E55" s="76" t="n">
        <v>2053</v>
      </c>
      <c r="F55" s="76" t="n">
        <v>2180</v>
      </c>
      <c r="G55" s="76" t="n">
        <v>2384</v>
      </c>
      <c r="H55" s="76" t="n">
        <v>1834</v>
      </c>
      <c r="I55" s="76" t="n">
        <v>2399</v>
      </c>
      <c r="J55" s="76" t="n">
        <v>2368</v>
      </c>
      <c r="K55" s="76" t="n">
        <v>2340</v>
      </c>
      <c r="L55" s="76" t="n">
        <v>2139</v>
      </c>
      <c r="M55" s="76" t="n">
        <v>2525</v>
      </c>
      <c r="N55" s="76" t="n">
        <v>2108</v>
      </c>
      <c r="O55" s="76" t="n">
        <v>2527</v>
      </c>
      <c r="P55" s="76">
        <f>SUM(D55:O55)</f>
        <v>26900</v>
      </c>
      <c r="Q55" s="77" t="n"/>
    </row>
    <row r="56">
      <c r="A56" s="74" t="n">
        <v>34</v>
      </c>
      <c r="B56" s="75" t="inlineStr">
        <is>
          <t>6130-00</t>
        </is>
      </c>
      <c r="C56" s="75" t="inlineStr">
        <is>
          <t>Grounds and Landscaping</t>
        </is>
      </c>
      <c r="D56" s="76" t="n">
        <v>1190</v>
      </c>
      <c r="E56" s="76" t="n">
        <v>1070</v>
      </c>
      <c r="F56" s="76" t="n">
        <v>1151</v>
      </c>
      <c r="G56" s="76" t="n">
        <v>1222</v>
      </c>
      <c r="H56" s="76" t="n">
        <v>1146</v>
      </c>
      <c r="I56" s="76" t="n">
        <v>1405</v>
      </c>
      <c r="J56" s="76" t="n">
        <v>1565</v>
      </c>
      <c r="K56" s="76" t="n">
        <v>1403</v>
      </c>
      <c r="L56" s="76" t="n">
        <v>1556</v>
      </c>
      <c r="M56" s="76" t="n">
        <v>1420</v>
      </c>
      <c r="N56" s="76" t="n">
        <v>1202</v>
      </c>
      <c r="O56" s="76" t="n">
        <v>1070</v>
      </c>
      <c r="P56" s="76">
        <f>SUM(D56:O56)</f>
        <v>15400</v>
      </c>
      <c r="Q56" s="77" t="n"/>
    </row>
    <row r="57">
      <c r="A57" s="74" t="n">
        <v>35</v>
      </c>
      <c r="B57" s="75" t="inlineStr">
        <is>
          <t>6140-00</t>
        </is>
      </c>
      <c r="C57" s="75" t="inlineStr">
        <is>
          <t>Snow Removal and Common Area</t>
        </is>
      </c>
      <c r="D57" s="76" t="n">
        <v>546</v>
      </c>
      <c r="E57" s="76" t="n">
        <v>452</v>
      </c>
      <c r="F57" s="76" t="n">
        <v>482</v>
      </c>
      <c r="G57" s="76" t="n">
        <v>597</v>
      </c>
      <c r="H57" s="76" t="n">
        <v>706</v>
      </c>
      <c r="I57" s="76" t="n">
        <v>355</v>
      </c>
      <c r="J57" s="76" t="n">
        <v>562</v>
      </c>
      <c r="K57" s="76" t="n">
        <v>402</v>
      </c>
      <c r="L57" s="76" t="n">
        <v>534</v>
      </c>
      <c r="M57" s="76" t="n">
        <v>460</v>
      </c>
      <c r="N57" s="76" t="n">
        <v>548</v>
      </c>
      <c r="O57" s="76" t="n">
        <v>456</v>
      </c>
      <c r="P57" s="76">
        <f>SUM(D57:O57)</f>
        <v>6100</v>
      </c>
      <c r="Q57" s="77" t="n"/>
    </row>
    <row r="58">
      <c r="A58" s="74" t="n">
        <v>36</v>
      </c>
      <c r="B58" s="75" t="n"/>
      <c r="C58" s="75" t="inlineStr">
        <is>
          <t>Total Repairs and Maintenance</t>
        </is>
      </c>
      <c r="D58" s="76" t="n">
        <v>5477</v>
      </c>
      <c r="E58" s="76" t="n">
        <v>5735</v>
      </c>
      <c r="F58" s="76" t="n">
        <v>5297</v>
      </c>
      <c r="G58" s="76" t="n">
        <v>6059</v>
      </c>
      <c r="H58" s="76" t="n">
        <v>5227</v>
      </c>
      <c r="I58" s="76" t="n">
        <v>6307</v>
      </c>
      <c r="J58" s="76" t="n">
        <v>6406</v>
      </c>
      <c r="K58" s="76" t="n">
        <v>5926</v>
      </c>
      <c r="L58" s="76" t="n">
        <v>6222</v>
      </c>
      <c r="M58" s="76" t="n">
        <v>5960</v>
      </c>
      <c r="N58" s="76" t="n">
        <v>5989</v>
      </c>
      <c r="O58" s="76" t="n">
        <v>6095</v>
      </c>
      <c r="P58" s="76">
        <f>SUM(D58:O58)</f>
        <v>70700</v>
      </c>
      <c r="Q58" s="77" t="n"/>
    </row>
    <row r="59">
      <c r="A59" s="74" t="n">
        <v>37</v>
      </c>
      <c r="B59" s="75" t="inlineStr">
        <is>
          <t>6210-00</t>
        </is>
      </c>
      <c r="C59" s="75" t="inlineStr">
        <is>
          <t>Make-Ready - Flooring</t>
        </is>
      </c>
      <c r="D59" s="76" t="n">
        <v>858</v>
      </c>
      <c r="E59" s="76" t="n">
        <v>759</v>
      </c>
      <c r="F59" s="76" t="n">
        <v>940</v>
      </c>
      <c r="G59" s="76" t="n">
        <v>951</v>
      </c>
      <c r="H59" s="76" t="n">
        <v>761</v>
      </c>
      <c r="I59" s="76" t="n">
        <v>752</v>
      </c>
      <c r="J59" s="76" t="n">
        <v>859</v>
      </c>
      <c r="K59" s="76" t="n">
        <v>1337</v>
      </c>
      <c r="L59" s="76" t="n">
        <v>969</v>
      </c>
      <c r="M59" s="76" t="n">
        <v>1035</v>
      </c>
      <c r="N59" s="76" t="n">
        <v>1095</v>
      </c>
      <c r="O59" s="76" t="n">
        <v>884</v>
      </c>
      <c r="P59" s="76">
        <f>SUM(D59:O59)</f>
        <v>11200</v>
      </c>
      <c r="Q59" s="77" t="n"/>
    </row>
    <row r="60">
      <c r="A60" s="74" t="n">
        <v>38</v>
      </c>
      <c r="B60" s="75" t="inlineStr">
        <is>
          <t>6220-00</t>
        </is>
      </c>
      <c r="C60" s="75" t="inlineStr">
        <is>
          <t>Make-Ready - Paint and Cleaning</t>
        </is>
      </c>
      <c r="D60" s="76" t="n">
        <v>736</v>
      </c>
      <c r="E60" s="76" t="n">
        <v>803</v>
      </c>
      <c r="F60" s="76" t="n">
        <v>742</v>
      </c>
      <c r="G60" s="76" t="n">
        <v>826</v>
      </c>
      <c r="H60" s="76" t="n">
        <v>601</v>
      </c>
      <c r="I60" s="76" t="n">
        <v>761</v>
      </c>
      <c r="J60" s="76" t="n">
        <v>856</v>
      </c>
      <c r="K60" s="76" t="n">
        <v>1100</v>
      </c>
      <c r="L60" s="76" t="n">
        <v>1042</v>
      </c>
      <c r="M60" s="76" t="n">
        <v>802</v>
      </c>
      <c r="N60" s="76" t="n">
        <v>1032</v>
      </c>
      <c r="O60" s="76" t="n">
        <v>799</v>
      </c>
      <c r="P60" s="76">
        <f>SUM(D60:O60)</f>
        <v>10100</v>
      </c>
      <c r="Q60" s="77" t="n"/>
    </row>
    <row r="61">
      <c r="A61" s="74" t="n">
        <v>39</v>
      </c>
      <c r="B61" s="75" t="inlineStr">
        <is>
          <t>6230-00</t>
        </is>
      </c>
      <c r="C61" s="75" t="inlineStr">
        <is>
          <t>Make-Ready - Appliances</t>
        </is>
      </c>
      <c r="D61" s="76" t="n">
        <v>292</v>
      </c>
      <c r="E61" s="76" t="n">
        <v>409</v>
      </c>
      <c r="F61" s="76" t="n">
        <v>432</v>
      </c>
      <c r="G61" s="76" t="n">
        <v>450</v>
      </c>
      <c r="H61" s="76" t="n">
        <v>438</v>
      </c>
      <c r="I61" s="76" t="n">
        <v>298</v>
      </c>
      <c r="J61" s="76" t="n">
        <v>397</v>
      </c>
      <c r="K61" s="76" t="n">
        <v>454</v>
      </c>
      <c r="L61" s="76" t="n">
        <v>389</v>
      </c>
      <c r="M61" s="76" t="n">
        <v>649</v>
      </c>
      <c r="N61" s="76" t="n">
        <v>648</v>
      </c>
      <c r="O61" s="76" t="n">
        <v>444</v>
      </c>
      <c r="P61" s="76">
        <f>SUM(D61:O61)</f>
        <v>5300</v>
      </c>
      <c r="Q61" s="77" t="n"/>
    </row>
    <row r="62">
      <c r="A62" s="74" t="n">
        <v>40</v>
      </c>
      <c r="B62" s="75" t="n"/>
      <c r="C62" s="75" t="inlineStr">
        <is>
          <t>Total Turnover Costs</t>
        </is>
      </c>
      <c r="D62" s="76" t="n">
        <v>1886</v>
      </c>
      <c r="E62" s="76" t="n">
        <v>1971</v>
      </c>
      <c r="F62" s="76" t="n">
        <v>2114</v>
      </c>
      <c r="G62" s="76" t="n">
        <v>2227</v>
      </c>
      <c r="H62" s="76" t="n">
        <v>1800</v>
      </c>
      <c r="I62" s="76" t="n">
        <v>1811</v>
      </c>
      <c r="J62" s="76" t="n">
        <v>2112</v>
      </c>
      <c r="K62" s="76" t="n">
        <v>2891</v>
      </c>
      <c r="L62" s="76" t="n">
        <v>2400</v>
      </c>
      <c r="M62" s="76" t="n">
        <v>2486</v>
      </c>
      <c r="N62" s="76" t="n">
        <v>2775</v>
      </c>
      <c r="O62" s="76" t="n">
        <v>2127</v>
      </c>
      <c r="P62" s="76">
        <f>SUM(D62:O62)</f>
        <v>26600</v>
      </c>
      <c r="Q62" s="77" t="n"/>
    </row>
    <row r="63">
      <c r="A63" s="74" t="n">
        <v>41</v>
      </c>
      <c r="B63" s="75" t="inlineStr">
        <is>
          <t>6310-00</t>
        </is>
      </c>
      <c r="C63" s="75" t="inlineStr">
        <is>
          <t>On-Site Salaries</t>
        </is>
      </c>
      <c r="D63" s="76" t="n">
        <v>8425</v>
      </c>
      <c r="E63" s="76" t="n">
        <v>8561</v>
      </c>
      <c r="F63" s="76" t="n">
        <v>8477</v>
      </c>
      <c r="G63" s="76" t="n">
        <v>8534</v>
      </c>
      <c r="H63" s="76" t="n">
        <v>8428</v>
      </c>
      <c r="I63" s="76" t="n">
        <v>8423</v>
      </c>
      <c r="J63" s="76" t="n">
        <v>8472</v>
      </c>
      <c r="K63" s="76" t="n">
        <v>8447</v>
      </c>
      <c r="L63" s="76" t="n">
        <v>8458</v>
      </c>
      <c r="M63" s="76" t="n">
        <v>8480</v>
      </c>
      <c r="N63" s="76" t="n">
        <v>8509</v>
      </c>
      <c r="O63" s="76" t="n">
        <v>8386</v>
      </c>
      <c r="P63" s="76">
        <f>SUM(D63:O63)</f>
        <v>101600</v>
      </c>
      <c r="Q63" s="77" t="n"/>
    </row>
    <row r="64">
      <c r="A64" s="74" t="n">
        <v>42</v>
      </c>
      <c r="B64" s="75" t="inlineStr">
        <is>
          <t>6320-00</t>
        </is>
      </c>
      <c r="C64" s="75" t="inlineStr">
        <is>
          <t>Payroll Taxes and Benefits</t>
        </is>
      </c>
      <c r="D64" s="76" t="n">
        <v>1855</v>
      </c>
      <c r="E64" s="76" t="n">
        <v>1774</v>
      </c>
      <c r="F64" s="76" t="n">
        <v>1745</v>
      </c>
      <c r="G64" s="76" t="n">
        <v>1832</v>
      </c>
      <c r="H64" s="76" t="n">
        <v>1764</v>
      </c>
      <c r="I64" s="76" t="n">
        <v>1801</v>
      </c>
      <c r="J64" s="76" t="n">
        <v>1734</v>
      </c>
      <c r="K64" s="76" t="n">
        <v>1779</v>
      </c>
      <c r="L64" s="76" t="n">
        <v>1715</v>
      </c>
      <c r="M64" s="76" t="n">
        <v>1836</v>
      </c>
      <c r="N64" s="76" t="n">
        <v>1723</v>
      </c>
      <c r="O64" s="76" t="n">
        <v>1842</v>
      </c>
      <c r="P64" s="76">
        <f>SUM(D64:O64)</f>
        <v>21400</v>
      </c>
      <c r="Q64" s="77" t="n"/>
    </row>
    <row r="65">
      <c r="A65" s="74" t="n">
        <v>43</v>
      </c>
      <c r="B65" s="75" t="n"/>
      <c r="C65" s="75" t="inlineStr">
        <is>
          <t>Total Labor Costs</t>
        </is>
      </c>
      <c r="D65" s="76" t="n">
        <v>10280</v>
      </c>
      <c r="E65" s="76" t="n">
        <v>10335</v>
      </c>
      <c r="F65" s="76" t="n">
        <v>10222</v>
      </c>
      <c r="G65" s="76" t="n">
        <v>10366</v>
      </c>
      <c r="H65" s="76" t="n">
        <v>10192</v>
      </c>
      <c r="I65" s="76" t="n">
        <v>10224</v>
      </c>
      <c r="J65" s="76" t="n">
        <v>10206</v>
      </c>
      <c r="K65" s="76" t="n">
        <v>10226</v>
      </c>
      <c r="L65" s="76" t="n">
        <v>10173</v>
      </c>
      <c r="M65" s="76" t="n">
        <v>10316</v>
      </c>
      <c r="N65" s="76" t="n">
        <v>10232</v>
      </c>
      <c r="O65" s="76" t="n">
        <v>10228</v>
      </c>
      <c r="P65" s="76">
        <f>SUM(D65:O65)</f>
        <v>123000</v>
      </c>
      <c r="Q65" s="77" t="n"/>
    </row>
    <row r="66">
      <c r="A66" s="74" t="n">
        <v>44</v>
      </c>
      <c r="B66" s="75" t="inlineStr">
        <is>
          <t>6410-00</t>
        </is>
      </c>
      <c r="C66" s="75" t="inlineStr">
        <is>
          <t>Internet Listings and Marketing</t>
        </is>
      </c>
      <c r="D66" s="76" t="n">
        <v>1355</v>
      </c>
      <c r="E66" s="76" t="n">
        <v>1236</v>
      </c>
      <c r="F66" s="76" t="n">
        <v>1320</v>
      </c>
      <c r="G66" s="76" t="n">
        <v>1237</v>
      </c>
      <c r="H66" s="76" t="n">
        <v>1291</v>
      </c>
      <c r="I66" s="76" t="n">
        <v>1211</v>
      </c>
      <c r="J66" s="76" t="n">
        <v>1170</v>
      </c>
      <c r="K66" s="76" t="n">
        <v>1564</v>
      </c>
      <c r="L66" s="76" t="n">
        <v>1318</v>
      </c>
      <c r="M66" s="76" t="n">
        <v>1466</v>
      </c>
      <c r="N66" s="76" t="n">
        <v>1601</v>
      </c>
      <c r="O66" s="76" t="n">
        <v>1031</v>
      </c>
      <c r="P66" s="76">
        <f>SUM(D66:O66)</f>
        <v>15800</v>
      </c>
      <c r="Q66" s="77" t="n"/>
    </row>
    <row r="67">
      <c r="A67" s="74" t="n">
        <v>45</v>
      </c>
      <c r="B67" s="75" t="n"/>
      <c r="C67" s="75" t="inlineStr">
        <is>
          <t>Total Advertising and Promotions</t>
        </is>
      </c>
      <c r="D67" s="76" t="n">
        <v>1355</v>
      </c>
      <c r="E67" s="76" t="n">
        <v>1236</v>
      </c>
      <c r="F67" s="76" t="n">
        <v>1320</v>
      </c>
      <c r="G67" s="76" t="n">
        <v>1237</v>
      </c>
      <c r="H67" s="76" t="n">
        <v>1291</v>
      </c>
      <c r="I67" s="76" t="n">
        <v>1211</v>
      </c>
      <c r="J67" s="76" t="n">
        <v>1170</v>
      </c>
      <c r="K67" s="76" t="n">
        <v>1564</v>
      </c>
      <c r="L67" s="76" t="n">
        <v>1318</v>
      </c>
      <c r="M67" s="76" t="n">
        <v>1466</v>
      </c>
      <c r="N67" s="76" t="n">
        <v>1601</v>
      </c>
      <c r="O67" s="76" t="n">
        <v>1031</v>
      </c>
      <c r="P67" s="76">
        <f>SUM(D67:O67)</f>
        <v>15800</v>
      </c>
      <c r="Q67" s="77" t="n"/>
    </row>
    <row r="68">
      <c r="A68" s="74" t="n">
        <v>46</v>
      </c>
      <c r="B68" s="75" t="inlineStr">
        <is>
          <t>6510-00</t>
        </is>
      </c>
      <c r="C68" s="75" t="inlineStr">
        <is>
          <t>Office and Supplies</t>
        </is>
      </c>
      <c r="D68" s="76" t="n">
        <v>654</v>
      </c>
      <c r="E68" s="76" t="n">
        <v>550</v>
      </c>
      <c r="F68" s="76" t="n">
        <v>585</v>
      </c>
      <c r="G68" s="76" t="n">
        <v>595</v>
      </c>
      <c r="H68" s="76" t="n">
        <v>551</v>
      </c>
      <c r="I68" s="76" t="n">
        <v>701</v>
      </c>
      <c r="J68" s="76" t="n">
        <v>592</v>
      </c>
      <c r="K68" s="76" t="n">
        <v>637</v>
      </c>
      <c r="L68" s="76" t="n">
        <v>570</v>
      </c>
      <c r="M68" s="76" t="n">
        <v>669</v>
      </c>
      <c r="N68" s="76" t="n">
        <v>636</v>
      </c>
      <c r="O68" s="76" t="n">
        <v>560</v>
      </c>
      <c r="P68" s="76">
        <f>SUM(D68:O68)</f>
        <v>7300</v>
      </c>
      <c r="Q68" s="77" t="n"/>
    </row>
    <row r="69">
      <c r="A69" s="74" t="n">
        <v>47</v>
      </c>
      <c r="B69" s="75" t="inlineStr">
        <is>
          <t>6520-00</t>
        </is>
      </c>
      <c r="C69" s="75" t="inlineStr">
        <is>
          <t>Software and Telephone</t>
        </is>
      </c>
      <c r="D69" s="76" t="n">
        <v>840</v>
      </c>
      <c r="E69" s="76" t="n">
        <v>820</v>
      </c>
      <c r="F69" s="76" t="n">
        <v>850</v>
      </c>
      <c r="G69" s="76" t="n">
        <v>833</v>
      </c>
      <c r="H69" s="76" t="n">
        <v>800</v>
      </c>
      <c r="I69" s="76" t="n">
        <v>828</v>
      </c>
      <c r="J69" s="76" t="n">
        <v>817</v>
      </c>
      <c r="K69" s="76" t="n">
        <v>851</v>
      </c>
      <c r="L69" s="76" t="n">
        <v>804</v>
      </c>
      <c r="M69" s="76" t="n">
        <v>799</v>
      </c>
      <c r="N69" s="76" t="n">
        <v>797</v>
      </c>
      <c r="O69" s="76" t="n">
        <v>861</v>
      </c>
      <c r="P69" s="76">
        <f>SUM(D69:O69)</f>
        <v>9900</v>
      </c>
      <c r="Q69" s="77" t="n"/>
    </row>
    <row r="70">
      <c r="A70" s="74" t="n">
        <v>48</v>
      </c>
      <c r="B70" s="75" t="inlineStr">
        <is>
          <t>6530-00</t>
        </is>
      </c>
      <c r="C70" s="75" t="inlineStr">
        <is>
          <t>Legal and Professional</t>
        </is>
      </c>
      <c r="D70" s="76" t="n">
        <v>322</v>
      </c>
      <c r="E70" s="76" t="n">
        <v>636</v>
      </c>
      <c r="F70" s="76" t="n">
        <v>546</v>
      </c>
      <c r="G70" s="76" t="n">
        <v>558</v>
      </c>
      <c r="H70" s="76" t="n">
        <v>642</v>
      </c>
      <c r="I70" s="76" t="n">
        <v>428</v>
      </c>
      <c r="J70" s="76" t="n">
        <v>750</v>
      </c>
      <c r="K70" s="76" t="n">
        <v>633</v>
      </c>
      <c r="L70" s="76" t="n">
        <v>665</v>
      </c>
      <c r="M70" s="76" t="n">
        <v>507</v>
      </c>
      <c r="N70" s="76" t="n">
        <v>613</v>
      </c>
      <c r="O70" s="76" t="n">
        <v>800</v>
      </c>
      <c r="P70" s="76">
        <f>SUM(D70:O70)</f>
        <v>7100</v>
      </c>
      <c r="Q70" s="77" t="n"/>
    </row>
    <row r="71">
      <c r="A71" s="74" t="n">
        <v>49</v>
      </c>
      <c r="B71" s="75" t="inlineStr">
        <is>
          <t>6540-00</t>
        </is>
      </c>
      <c r="C71" s="75" t="inlineStr">
        <is>
          <t>Licenses and Fees</t>
        </is>
      </c>
      <c r="D71" s="76" t="n">
        <v>305</v>
      </c>
      <c r="E71" s="76" t="n">
        <v>279</v>
      </c>
      <c r="F71" s="76" t="n">
        <v>271</v>
      </c>
      <c r="G71" s="76" t="n">
        <v>313</v>
      </c>
      <c r="H71" s="76" t="n">
        <v>260</v>
      </c>
      <c r="I71" s="76" t="n">
        <v>260</v>
      </c>
      <c r="J71" s="76" t="n">
        <v>302</v>
      </c>
      <c r="K71" s="76" t="n">
        <v>296</v>
      </c>
      <c r="L71" s="76" t="n">
        <v>262</v>
      </c>
      <c r="M71" s="76" t="n">
        <v>293</v>
      </c>
      <c r="N71" s="76" t="n">
        <v>264</v>
      </c>
      <c r="O71" s="76" t="n">
        <v>295</v>
      </c>
      <c r="P71" s="76">
        <f>SUM(D71:O71)</f>
        <v>3400</v>
      </c>
      <c r="Q71" s="77" t="n"/>
    </row>
    <row r="72">
      <c r="A72" s="74" t="n">
        <v>50</v>
      </c>
      <c r="B72" s="75" t="n"/>
      <c r="C72" s="75" t="inlineStr">
        <is>
          <t>Total General and Administrative Costs</t>
        </is>
      </c>
      <c r="D72" s="76" t="n">
        <v>2121</v>
      </c>
      <c r="E72" s="76" t="n">
        <v>2285</v>
      </c>
      <c r="F72" s="76" t="n">
        <v>2252</v>
      </c>
      <c r="G72" s="76" t="n">
        <v>2299</v>
      </c>
      <c r="H72" s="76" t="n">
        <v>2253</v>
      </c>
      <c r="I72" s="76" t="n">
        <v>2217</v>
      </c>
      <c r="J72" s="76" t="n">
        <v>2461</v>
      </c>
      <c r="K72" s="76" t="n">
        <v>2417</v>
      </c>
      <c r="L72" s="76" t="n">
        <v>2301</v>
      </c>
      <c r="M72" s="76" t="n">
        <v>2268</v>
      </c>
      <c r="N72" s="76" t="n">
        <v>2310</v>
      </c>
      <c r="O72" s="76" t="n">
        <v>2516</v>
      </c>
      <c r="P72" s="76">
        <f>SUM(D72:O72)</f>
        <v>27700</v>
      </c>
      <c r="Q72" s="77" t="n"/>
    </row>
    <row r="73">
      <c r="A73" s="74" t="n">
        <v>51</v>
      </c>
      <c r="B73" s="75" t="n"/>
      <c r="C73" s="75" t="inlineStr">
        <is>
          <t>Total Controllable Expenses</t>
        </is>
      </c>
      <c r="D73" s="76" t="n">
        <v>21119</v>
      </c>
      <c r="E73" s="76" t="n">
        <v>21562</v>
      </c>
      <c r="F73" s="76" t="n">
        <v>21205</v>
      </c>
      <c r="G73" s="76" t="n">
        <v>22188</v>
      </c>
      <c r="H73" s="76" t="n">
        <v>20763</v>
      </c>
      <c r="I73" s="76" t="n">
        <v>21770</v>
      </c>
      <c r="J73" s="76" t="n">
        <v>22355</v>
      </c>
      <c r="K73" s="76" t="n">
        <v>23024</v>
      </c>
      <c r="L73" s="76" t="n">
        <v>22414</v>
      </c>
      <c r="M73" s="76" t="n">
        <v>22496</v>
      </c>
      <c r="N73" s="76" t="n">
        <v>22907</v>
      </c>
      <c r="O73" s="76" t="n">
        <v>21997</v>
      </c>
      <c r="P73" s="76">
        <f>SUM(D73:O73)</f>
        <v>263800</v>
      </c>
      <c r="Q73" s="77" t="n"/>
    </row>
    <row r="74">
      <c r="A74" s="74" t="n">
        <v>52</v>
      </c>
      <c r="B74" s="75" t="inlineStr">
        <is>
          <t>6610-00</t>
        </is>
      </c>
      <c r="C74" s="75" t="inlineStr">
        <is>
          <t>Electric - Common Area</t>
        </is>
      </c>
      <c r="D74" s="76" t="n">
        <v>1876</v>
      </c>
      <c r="E74" s="76" t="n">
        <v>1891</v>
      </c>
      <c r="F74" s="76" t="n">
        <v>1932</v>
      </c>
      <c r="G74" s="76" t="n">
        <v>1783</v>
      </c>
      <c r="H74" s="76" t="n">
        <v>1870</v>
      </c>
      <c r="I74" s="76" t="n">
        <v>2322</v>
      </c>
      <c r="J74" s="76" t="n">
        <v>2272</v>
      </c>
      <c r="K74" s="76" t="n">
        <v>2321</v>
      </c>
      <c r="L74" s="76" t="n">
        <v>2278</v>
      </c>
      <c r="M74" s="76" t="n">
        <v>2279</v>
      </c>
      <c r="N74" s="76" t="n">
        <v>1910</v>
      </c>
      <c r="O74" s="76" t="n">
        <v>1866</v>
      </c>
      <c r="P74" s="76">
        <f>SUM(D74:O74)</f>
        <v>24600</v>
      </c>
      <c r="Q74" s="77" t="n"/>
    </row>
    <row r="75" ht="15" customHeight="1" s="234">
      <c r="A75" s="334" t="n">
        <v>53</v>
      </c>
      <c r="B75" s="335" t="inlineStr">
        <is>
          <t>6620-00</t>
        </is>
      </c>
      <c r="C75" s="335" t="inlineStr">
        <is>
          <t>Water and Sewer</t>
        </is>
      </c>
      <c r="D75" s="336" t="n">
        <v>5384</v>
      </c>
      <c r="E75" s="336" t="n">
        <v>5207</v>
      </c>
      <c r="F75" s="336" t="n">
        <v>5122</v>
      </c>
      <c r="G75" s="336" t="n">
        <v>5299</v>
      </c>
      <c r="H75" s="336" t="n">
        <v>5273</v>
      </c>
      <c r="I75" s="336" t="n">
        <v>6380</v>
      </c>
      <c r="J75" s="336" t="n">
        <v>6343</v>
      </c>
      <c r="K75" s="336" t="n">
        <v>6709</v>
      </c>
      <c r="L75" s="336" t="n">
        <v>6954</v>
      </c>
      <c r="M75" s="336" t="n">
        <v>6530</v>
      </c>
      <c r="N75" s="336" t="n">
        <v>5741</v>
      </c>
      <c r="O75" s="336" t="n">
        <v>5458</v>
      </c>
      <c r="P75" s="336">
        <f>SUM(D75:O75)</f>
        <v>70400</v>
      </c>
      <c r="Q75" s="337" t="n"/>
    </row>
    <row r="76" ht="15" customHeight="1" s="234">
      <c r="A76" s="334" t="n">
        <v>54</v>
      </c>
      <c r="B76" s="335" t="inlineStr">
        <is>
          <t>6630-00</t>
        </is>
      </c>
      <c r="C76" s="335" t="inlineStr">
        <is>
          <t>Gas - Common Area</t>
        </is>
      </c>
      <c r="D76" s="336" t="n">
        <v>296</v>
      </c>
      <c r="E76" s="336" t="n">
        <v>308</v>
      </c>
      <c r="F76" s="336" t="n">
        <v>418</v>
      </c>
      <c r="G76" s="336" t="n">
        <v>351</v>
      </c>
      <c r="H76" s="336" t="n">
        <v>421</v>
      </c>
      <c r="I76" s="336" t="n">
        <v>280</v>
      </c>
      <c r="J76" s="336" t="n">
        <v>305</v>
      </c>
      <c r="K76" s="336" t="n">
        <v>245</v>
      </c>
      <c r="L76" s="336" t="n">
        <v>272</v>
      </c>
      <c r="M76" s="336" t="n">
        <v>237</v>
      </c>
      <c r="N76" s="336" t="n">
        <v>308</v>
      </c>
      <c r="O76" s="336" t="n">
        <v>259</v>
      </c>
      <c r="P76" s="336">
        <f>SUM(D76:O76)</f>
        <v>3700</v>
      </c>
      <c r="Q76" s="337" t="n"/>
    </row>
    <row r="77">
      <c r="A77" s="74" t="n">
        <v>55</v>
      </c>
      <c r="B77" s="75" t="inlineStr">
        <is>
          <t>6640-00</t>
        </is>
      </c>
      <c r="C77" s="75" t="inlineStr">
        <is>
          <t>Trash Removal</t>
        </is>
      </c>
      <c r="D77" s="76" t="n">
        <v>1946</v>
      </c>
      <c r="E77" s="76" t="n">
        <v>1872</v>
      </c>
      <c r="F77" s="76" t="n">
        <v>1933</v>
      </c>
      <c r="G77" s="76" t="n">
        <v>1912</v>
      </c>
      <c r="H77" s="76" t="n">
        <v>1875</v>
      </c>
      <c r="I77" s="76" t="n">
        <v>1882</v>
      </c>
      <c r="J77" s="76" t="n">
        <v>1873</v>
      </c>
      <c r="K77" s="76" t="n">
        <v>1907</v>
      </c>
      <c r="L77" s="76" t="n">
        <v>1908</v>
      </c>
      <c r="M77" s="76" t="n">
        <v>1912</v>
      </c>
      <c r="N77" s="76" t="n">
        <v>1873</v>
      </c>
      <c r="O77" s="76" t="n">
        <v>1907</v>
      </c>
      <c r="P77" s="76">
        <f>SUM(D77:O77)</f>
        <v>22800</v>
      </c>
      <c r="Q77" s="77" t="n"/>
    </row>
    <row r="78">
      <c r="A78" s="74" t="n">
        <v>56</v>
      </c>
      <c r="B78" s="75" t="n"/>
      <c r="C78" s="75" t="inlineStr">
        <is>
          <t>Total Utility Costs</t>
        </is>
      </c>
      <c r="D78" s="76" t="n">
        <v>9502</v>
      </c>
      <c r="E78" s="76" t="n">
        <v>9278</v>
      </c>
      <c r="F78" s="76" t="n">
        <v>9405</v>
      </c>
      <c r="G78" s="76" t="n">
        <v>9345</v>
      </c>
      <c r="H78" s="76" t="n">
        <v>9439</v>
      </c>
      <c r="I78" s="76" t="n">
        <v>10864</v>
      </c>
      <c r="J78" s="76" t="n">
        <v>10793</v>
      </c>
      <c r="K78" s="76" t="n">
        <v>11182</v>
      </c>
      <c r="L78" s="76" t="n">
        <v>11412</v>
      </c>
      <c r="M78" s="76" t="n">
        <v>10958</v>
      </c>
      <c r="N78" s="76" t="n">
        <v>9832</v>
      </c>
      <c r="O78" s="76" t="n">
        <v>9490</v>
      </c>
      <c r="P78" s="76">
        <f>SUM(D78:O78)</f>
        <v>121500</v>
      </c>
      <c r="Q78" s="77" t="n"/>
    </row>
    <row r="79">
      <c r="A79" s="74" t="n">
        <v>57</v>
      </c>
      <c r="B79" s="75" t="inlineStr">
        <is>
          <t>6700-00</t>
        </is>
      </c>
      <c r="C79" s="75" t="inlineStr">
        <is>
          <t>Management Fee</t>
        </is>
      </c>
      <c r="D79" s="76" t="n">
        <v>3454</v>
      </c>
      <c r="E79" s="76" t="n">
        <v>3524</v>
      </c>
      <c r="F79" s="76" t="n">
        <v>3528</v>
      </c>
      <c r="G79" s="76" t="n">
        <v>3551</v>
      </c>
      <c r="H79" s="76" t="n">
        <v>3532</v>
      </c>
      <c r="I79" s="76" t="n">
        <v>3615</v>
      </c>
      <c r="J79" s="76" t="n">
        <v>3625</v>
      </c>
      <c r="K79" s="76" t="n">
        <v>3614</v>
      </c>
      <c r="L79" s="76" t="n">
        <v>3638</v>
      </c>
      <c r="M79" s="76" t="n">
        <v>3624</v>
      </c>
      <c r="N79" s="76" t="n">
        <v>3707</v>
      </c>
      <c r="O79" s="76" t="n">
        <v>3673</v>
      </c>
      <c r="P79" s="76">
        <f>SUM(D79:O79)</f>
        <v>43085</v>
      </c>
      <c r="Q79" s="77" t="n"/>
    </row>
    <row r="80">
      <c r="A80" s="74" t="n">
        <v>58</v>
      </c>
      <c r="B80" s="75" t="n"/>
      <c r="C80" s="75" t="inlineStr">
        <is>
          <t>Total Management Fees</t>
        </is>
      </c>
      <c r="D80" s="76" t="n">
        <v>3454</v>
      </c>
      <c r="E80" s="76" t="n">
        <v>3524</v>
      </c>
      <c r="F80" s="76" t="n">
        <v>3528</v>
      </c>
      <c r="G80" s="76" t="n">
        <v>3551</v>
      </c>
      <c r="H80" s="76" t="n">
        <v>3532</v>
      </c>
      <c r="I80" s="76" t="n">
        <v>3615</v>
      </c>
      <c r="J80" s="76" t="n">
        <v>3625</v>
      </c>
      <c r="K80" s="76" t="n">
        <v>3614</v>
      </c>
      <c r="L80" s="76" t="n">
        <v>3638</v>
      </c>
      <c r="M80" s="76" t="n">
        <v>3624</v>
      </c>
      <c r="N80" s="76" t="n">
        <v>3707</v>
      </c>
      <c r="O80" s="76" t="n">
        <v>3673</v>
      </c>
      <c r="P80" s="76">
        <f>SUM(D80:O80)</f>
        <v>43085</v>
      </c>
      <c r="Q80" s="77" t="n"/>
    </row>
    <row r="81">
      <c r="A81" s="74" t="n">
        <v>59</v>
      </c>
      <c r="B81" s="75" t="inlineStr">
        <is>
          <t>6800-00</t>
        </is>
      </c>
      <c r="C81" s="75" t="inlineStr">
        <is>
          <t>Property and Liability Insurance</t>
        </is>
      </c>
      <c r="D81" s="76" t="n">
        <v>0</v>
      </c>
      <c r="E81" s="76" t="n">
        <v>0</v>
      </c>
      <c r="F81" s="76" t="n">
        <v>45900</v>
      </c>
      <c r="G81" s="76" t="n">
        <v>0</v>
      </c>
      <c r="H81" s="76" t="n">
        <v>0</v>
      </c>
      <c r="I81" s="76" t="n">
        <v>0</v>
      </c>
      <c r="J81" s="76" t="n">
        <v>0</v>
      </c>
      <c r="K81" s="76" t="n">
        <v>0</v>
      </c>
      <c r="L81" s="76" t="n">
        <v>45900</v>
      </c>
      <c r="M81" s="76" t="n">
        <v>0</v>
      </c>
      <c r="N81" s="76" t="n">
        <v>0</v>
      </c>
      <c r="O81" s="76" t="n">
        <v>0</v>
      </c>
      <c r="P81" s="76">
        <f>SUM(D81:O81)</f>
        <v>91800</v>
      </c>
      <c r="Q81" s="77" t="n"/>
    </row>
    <row r="82">
      <c r="A82" s="74" t="n">
        <v>60</v>
      </c>
      <c r="B82" s="75" t="n"/>
      <c r="C82" s="75" t="inlineStr">
        <is>
          <t>Total Insurance and Bonds</t>
        </is>
      </c>
      <c r="D82" s="76" t="n">
        <v>0</v>
      </c>
      <c r="E82" s="76" t="n">
        <v>0</v>
      </c>
      <c r="F82" s="76" t="n">
        <v>45900</v>
      </c>
      <c r="G82" s="76" t="n">
        <v>0</v>
      </c>
      <c r="H82" s="76" t="n">
        <v>0</v>
      </c>
      <c r="I82" s="76" t="n">
        <v>0</v>
      </c>
      <c r="J82" s="76" t="n">
        <v>0</v>
      </c>
      <c r="K82" s="76" t="n">
        <v>0</v>
      </c>
      <c r="L82" s="76" t="n">
        <v>45900</v>
      </c>
      <c r="M82" s="76" t="n">
        <v>0</v>
      </c>
      <c r="N82" s="76" t="n">
        <v>0</v>
      </c>
      <c r="O82" s="76" t="n">
        <v>0</v>
      </c>
      <c r="P82" s="76">
        <f>SUM(D82:O82)</f>
        <v>91800</v>
      </c>
      <c r="Q82" s="77" t="n"/>
    </row>
    <row r="83">
      <c r="A83" s="74" t="n">
        <v>61</v>
      </c>
      <c r="B83" s="75" t="inlineStr">
        <is>
          <t>6900-00</t>
        </is>
      </c>
      <c r="C83" s="75" t="inlineStr">
        <is>
          <t>Real Estate Taxes</t>
        </is>
      </c>
      <c r="D83" s="76" t="n">
        <v>0</v>
      </c>
      <c r="E83" s="76" t="n">
        <v>0</v>
      </c>
      <c r="F83" s="76" t="n">
        <v>82700</v>
      </c>
      <c r="G83" s="76" t="n">
        <v>0</v>
      </c>
      <c r="H83" s="76" t="n">
        <v>0</v>
      </c>
      <c r="I83" s="76" t="n">
        <v>0</v>
      </c>
      <c r="J83" s="76" t="n">
        <v>0</v>
      </c>
      <c r="K83" s="76" t="n">
        <v>0</v>
      </c>
      <c r="L83" s="76" t="n">
        <v>82700</v>
      </c>
      <c r="M83" s="76" t="n">
        <v>0</v>
      </c>
      <c r="N83" s="76" t="n">
        <v>0</v>
      </c>
      <c r="O83" s="76" t="n">
        <v>0</v>
      </c>
      <c r="P83" s="76">
        <f>SUM(D83:O83)</f>
        <v>165400</v>
      </c>
      <c r="Q83" s="77" t="n"/>
    </row>
    <row r="84">
      <c r="A84" s="74" t="n">
        <v>62</v>
      </c>
      <c r="B84" s="75" t="n"/>
      <c r="C84" s="75" t="inlineStr">
        <is>
          <t>Total Property Taxes</t>
        </is>
      </c>
      <c r="D84" s="76" t="n">
        <v>0</v>
      </c>
      <c r="E84" s="76" t="n">
        <v>0</v>
      </c>
      <c r="F84" s="76" t="n">
        <v>82700</v>
      </c>
      <c r="G84" s="76" t="n">
        <v>0</v>
      </c>
      <c r="H84" s="76" t="n">
        <v>0</v>
      </c>
      <c r="I84" s="76" t="n">
        <v>0</v>
      </c>
      <c r="J84" s="76" t="n">
        <v>0</v>
      </c>
      <c r="K84" s="76" t="n">
        <v>0</v>
      </c>
      <c r="L84" s="76" t="n">
        <v>82700</v>
      </c>
      <c r="M84" s="76" t="n">
        <v>0</v>
      </c>
      <c r="N84" s="76" t="n">
        <v>0</v>
      </c>
      <c r="O84" s="76" t="n">
        <v>0</v>
      </c>
      <c r="P84" s="76">
        <f>SUM(D84:O84)</f>
        <v>165400</v>
      </c>
      <c r="Q84" s="77" t="n"/>
    </row>
    <row r="85">
      <c r="A85" s="74" t="n">
        <v>63</v>
      </c>
      <c r="B85" s="75" t="inlineStr">
        <is>
          <t>7010-00</t>
        </is>
      </c>
      <c r="C85" s="75" t="inlineStr">
        <is>
          <t>Pest Control</t>
        </is>
      </c>
      <c r="D85" s="76" t="n">
        <v>625</v>
      </c>
      <c r="E85" s="76" t="n">
        <v>587</v>
      </c>
      <c r="F85" s="76" t="n">
        <v>598</v>
      </c>
      <c r="G85" s="76" t="n">
        <v>614</v>
      </c>
      <c r="H85" s="76" t="n">
        <v>593</v>
      </c>
      <c r="I85" s="76" t="n">
        <v>582</v>
      </c>
      <c r="J85" s="76" t="n">
        <v>607</v>
      </c>
      <c r="K85" s="76" t="n">
        <v>610</v>
      </c>
      <c r="L85" s="76" t="n">
        <v>588</v>
      </c>
      <c r="M85" s="76" t="n">
        <v>588</v>
      </c>
      <c r="N85" s="76" t="n">
        <v>623</v>
      </c>
      <c r="O85" s="76" t="n">
        <v>585</v>
      </c>
      <c r="P85" s="76">
        <f>SUM(D85:O85)</f>
        <v>7200</v>
      </c>
      <c r="Q85" s="77" t="n"/>
    </row>
    <row r="86">
      <c r="A86" s="74" t="n">
        <v>64</v>
      </c>
      <c r="B86" s="75" t="inlineStr">
        <is>
          <t>7020-00</t>
        </is>
      </c>
      <c r="C86" s="75" t="inlineStr">
        <is>
          <t>Security and Courtesy Patrol</t>
        </is>
      </c>
      <c r="D86" s="76" t="n">
        <v>823</v>
      </c>
      <c r="E86" s="76" t="n">
        <v>784</v>
      </c>
      <c r="F86" s="76" t="n">
        <v>794</v>
      </c>
      <c r="G86" s="76" t="n">
        <v>790</v>
      </c>
      <c r="H86" s="76" t="n">
        <v>808</v>
      </c>
      <c r="I86" s="76" t="n">
        <v>817</v>
      </c>
      <c r="J86" s="76" t="n">
        <v>814</v>
      </c>
      <c r="K86" s="76" t="n">
        <v>767</v>
      </c>
      <c r="L86" s="76" t="n">
        <v>822</v>
      </c>
      <c r="M86" s="76" t="n">
        <v>795</v>
      </c>
      <c r="N86" s="76" t="n">
        <v>786</v>
      </c>
      <c r="O86" s="76" t="n">
        <v>800</v>
      </c>
      <c r="P86" s="76">
        <f>SUM(D86:O86)</f>
        <v>9600</v>
      </c>
      <c r="Q86" s="77" t="n"/>
    </row>
    <row r="87">
      <c r="A87" s="74" t="n">
        <v>65</v>
      </c>
      <c r="B87" s="75" t="inlineStr">
        <is>
          <t>7030-00</t>
        </is>
      </c>
      <c r="C87" s="75" t="inlineStr">
        <is>
          <t>Other Property Expenses</t>
        </is>
      </c>
      <c r="D87" s="76" t="n">
        <v>520</v>
      </c>
      <c r="E87" s="76" t="n">
        <v>531</v>
      </c>
      <c r="F87" s="76" t="n">
        <v>357</v>
      </c>
      <c r="G87" s="76" t="n">
        <v>409</v>
      </c>
      <c r="H87" s="76" t="n">
        <v>323</v>
      </c>
      <c r="I87" s="76" t="n">
        <v>583</v>
      </c>
      <c r="J87" s="76" t="n">
        <v>336</v>
      </c>
      <c r="K87" s="76" t="n">
        <v>340</v>
      </c>
      <c r="L87" s="76" t="n">
        <v>438</v>
      </c>
      <c r="M87" s="76" t="n">
        <v>398</v>
      </c>
      <c r="N87" s="76" t="n">
        <v>561</v>
      </c>
      <c r="O87" s="76" t="n">
        <v>404</v>
      </c>
      <c r="P87" s="76">
        <f>SUM(D87:O87)</f>
        <v>5200</v>
      </c>
      <c r="Q87" s="77" t="n"/>
    </row>
    <row r="88">
      <c r="A88" s="74" t="n">
        <v>66</v>
      </c>
      <c r="B88" s="75" t="n"/>
      <c r="C88" s="75" t="inlineStr">
        <is>
          <t>Total Other Property Expenses</t>
        </is>
      </c>
      <c r="D88" s="76" t="n">
        <v>1968</v>
      </c>
      <c r="E88" s="76" t="n">
        <v>1902</v>
      </c>
      <c r="F88" s="76" t="n">
        <v>1749</v>
      </c>
      <c r="G88" s="76" t="n">
        <v>1813</v>
      </c>
      <c r="H88" s="76" t="n">
        <v>1724</v>
      </c>
      <c r="I88" s="76" t="n">
        <v>1982</v>
      </c>
      <c r="J88" s="76" t="n">
        <v>1757</v>
      </c>
      <c r="K88" s="76" t="n">
        <v>1717</v>
      </c>
      <c r="L88" s="76" t="n">
        <v>1848</v>
      </c>
      <c r="M88" s="76" t="n">
        <v>1781</v>
      </c>
      <c r="N88" s="76" t="n">
        <v>1970</v>
      </c>
      <c r="O88" s="76" t="n">
        <v>1789</v>
      </c>
      <c r="P88" s="76">
        <f>SUM(D88:O88)</f>
        <v>22000</v>
      </c>
      <c r="Q88" s="77" t="n"/>
    </row>
    <row r="89">
      <c r="A89" s="74" t="n">
        <v>67</v>
      </c>
      <c r="B89" s="75" t="n"/>
      <c r="C89" s="75" t="inlineStr">
        <is>
          <t>Total Operating Expenses</t>
        </is>
      </c>
      <c r="D89" s="76" t="n">
        <v>36043</v>
      </c>
      <c r="E89" s="76" t="n">
        <v>36266</v>
      </c>
      <c r="F89" s="76" t="n">
        <v>164487</v>
      </c>
      <c r="G89" s="76" t="n">
        <v>36897</v>
      </c>
      <c r="H89" s="76" t="n">
        <v>35458</v>
      </c>
      <c r="I89" s="76" t="n">
        <v>38231</v>
      </c>
      <c r="J89" s="76" t="n">
        <v>38530</v>
      </c>
      <c r="K89" s="76" t="n">
        <v>39537</v>
      </c>
      <c r="L89" s="76" t="n">
        <v>167912</v>
      </c>
      <c r="M89" s="76" t="n">
        <v>38859</v>
      </c>
      <c r="N89" s="76" t="n">
        <v>38416</v>
      </c>
      <c r="O89" s="76" t="n">
        <v>36949</v>
      </c>
      <c r="P89" s="76">
        <f>SUM(D89:O89)</f>
        <v>707585</v>
      </c>
      <c r="Q89" s="77" t="n"/>
    </row>
    <row r="90">
      <c r="A90" s="74" t="n">
        <v>68</v>
      </c>
      <c r="B90" s="75" t="n"/>
      <c r="C90" s="75" t="inlineStr">
        <is>
          <t>Net Operating Income</t>
        </is>
      </c>
      <c r="D90" s="76" t="n">
        <v>62638</v>
      </c>
      <c r="E90" s="76" t="n">
        <v>64421</v>
      </c>
      <c r="F90" s="76" t="n">
        <v>-63695</v>
      </c>
      <c r="G90" s="76" t="n">
        <v>64568</v>
      </c>
      <c r="H90" s="76" t="n">
        <v>65469</v>
      </c>
      <c r="I90" s="76" t="n">
        <v>65045</v>
      </c>
      <c r="J90" s="76" t="n">
        <v>65050</v>
      </c>
      <c r="K90" s="76" t="n">
        <v>63709</v>
      </c>
      <c r="L90" s="76" t="n">
        <v>-63977</v>
      </c>
      <c r="M90" s="76" t="n">
        <v>64675</v>
      </c>
      <c r="N90" s="76" t="n">
        <v>67510</v>
      </c>
      <c r="O90" s="76" t="n">
        <v>68002</v>
      </c>
      <c r="P90" s="76">
        <f>SUM(D90:O90)</f>
        <v>523415</v>
      </c>
      <c r="Q90" s="77" t="n"/>
    </row>
    <row r="91">
      <c r="A91" s="74" t="n"/>
      <c r="B91" s="75" t="n"/>
      <c r="C91" s="75" t="n"/>
      <c r="D91" s="76" t="n"/>
      <c r="E91" s="76" t="n"/>
      <c r="F91" s="76" t="n"/>
      <c r="G91" s="76" t="n"/>
      <c r="H91" s="76" t="n"/>
      <c r="I91" s="76" t="n"/>
      <c r="J91" s="76" t="n"/>
      <c r="K91" s="76" t="n"/>
      <c r="L91" s="76" t="n"/>
      <c r="M91" s="76" t="n"/>
      <c r="N91" s="76" t="n"/>
      <c r="O91" s="76" t="n"/>
      <c r="P91" s="76" t="n"/>
      <c r="Q91" s="77" t="n"/>
    </row>
    <row r="92">
      <c r="A92" s="74" t="n"/>
      <c r="B92" s="75" t="n"/>
      <c r="C92" s="75" t="n"/>
      <c r="D92" s="76" t="n"/>
      <c r="E92" s="76" t="n"/>
      <c r="F92" s="76" t="n"/>
      <c r="G92" s="76" t="n"/>
      <c r="H92" s="76" t="n"/>
      <c r="I92" s="76" t="n"/>
      <c r="J92" s="76" t="n"/>
      <c r="K92" s="76" t="n"/>
      <c r="L92" s="76" t="n"/>
      <c r="M92" s="76" t="n"/>
      <c r="N92" s="76" t="n"/>
      <c r="O92" s="76" t="n"/>
      <c r="P92" s="76" t="n"/>
      <c r="Q92" s="77" t="n"/>
    </row>
    <row r="93">
      <c r="A93" s="74" t="n"/>
      <c r="B93" s="75" t="n"/>
      <c r="C93" s="75" t="n"/>
      <c r="D93" s="76" t="n"/>
      <c r="E93" s="76" t="n"/>
      <c r="F93" s="76" t="n"/>
      <c r="G93" s="76" t="n"/>
      <c r="H93" s="76" t="n"/>
      <c r="I93" s="76" t="n"/>
      <c r="J93" s="76" t="n"/>
      <c r="K93" s="76" t="n"/>
      <c r="L93" s="76" t="n"/>
      <c r="M93" s="76" t="n"/>
      <c r="N93" s="76" t="n"/>
      <c r="O93" s="76" t="n"/>
      <c r="P93" s="76" t="n"/>
      <c r="Q93" s="77" t="n"/>
    </row>
    <row r="94">
      <c r="A94" s="74" t="n"/>
      <c r="B94" s="75" t="n"/>
      <c r="C94" s="75" t="n"/>
      <c r="D94" s="76" t="n"/>
      <c r="E94" s="76" t="n"/>
      <c r="F94" s="76" t="n"/>
      <c r="G94" s="76" t="n"/>
      <c r="H94" s="76" t="n"/>
      <c r="I94" s="76" t="n"/>
      <c r="J94" s="76" t="n"/>
      <c r="K94" s="76" t="n"/>
      <c r="L94" s="76" t="n"/>
      <c r="M94" s="76" t="n"/>
      <c r="N94" s="76" t="n"/>
      <c r="O94" s="76" t="n"/>
      <c r="P94" s="76" t="n"/>
      <c r="Q94" s="77" t="n"/>
    </row>
    <row r="95">
      <c r="A95" s="74" t="n"/>
      <c r="B95" s="75" t="n"/>
      <c r="C95" s="75" t="n"/>
      <c r="D95" s="76" t="n"/>
      <c r="E95" s="76" t="n"/>
      <c r="F95" s="76" t="n"/>
      <c r="G95" s="76" t="n"/>
      <c r="H95" s="76" t="n"/>
      <c r="I95" s="76" t="n"/>
      <c r="J95" s="76" t="n"/>
      <c r="K95" s="76" t="n"/>
      <c r="L95" s="76" t="n"/>
      <c r="M95" s="76" t="n"/>
      <c r="N95" s="76" t="n"/>
      <c r="O95" s="76" t="n"/>
      <c r="P95" s="76" t="n"/>
      <c r="Q95" s="77" t="n"/>
    </row>
    <row r="96">
      <c r="A96" s="74" t="n"/>
      <c r="B96" s="75" t="n"/>
      <c r="C96" s="75" t="n"/>
      <c r="D96" s="76" t="n"/>
      <c r="E96" s="76" t="n"/>
      <c r="F96" s="76" t="n"/>
      <c r="G96" s="76" t="n"/>
      <c r="H96" s="76" t="n"/>
      <c r="I96" s="76" t="n"/>
      <c r="J96" s="76" t="n"/>
      <c r="K96" s="76" t="n"/>
      <c r="L96" s="76" t="n"/>
      <c r="M96" s="76" t="n"/>
      <c r="N96" s="76" t="n"/>
      <c r="O96" s="76" t="n"/>
      <c r="P96" s="76" t="n"/>
      <c r="Q96" s="77" t="n"/>
    </row>
    <row r="97">
      <c r="A97" s="74" t="n"/>
      <c r="B97" s="75" t="n"/>
      <c r="C97" s="75" t="n"/>
      <c r="D97" s="76" t="n"/>
      <c r="E97" s="76" t="n"/>
      <c r="F97" s="76" t="n"/>
      <c r="G97" s="76" t="n"/>
      <c r="H97" s="76" t="n"/>
      <c r="I97" s="76" t="n"/>
      <c r="J97" s="76" t="n"/>
      <c r="K97" s="76" t="n"/>
      <c r="L97" s="76" t="n"/>
      <c r="M97" s="76" t="n"/>
      <c r="N97" s="76" t="n"/>
      <c r="O97" s="76" t="n"/>
      <c r="P97" s="76" t="n"/>
      <c r="Q97" s="77" t="n"/>
    </row>
    <row r="98">
      <c r="A98" s="74" t="n"/>
      <c r="B98" s="75" t="n"/>
      <c r="C98" s="75" t="n"/>
      <c r="D98" s="76" t="n"/>
      <c r="E98" s="76" t="n"/>
      <c r="F98" s="76" t="n"/>
      <c r="G98" s="76" t="n"/>
      <c r="H98" s="76" t="n"/>
      <c r="I98" s="76" t="n"/>
      <c r="J98" s="76" t="n"/>
      <c r="K98" s="76" t="n"/>
      <c r="L98" s="76" t="n"/>
      <c r="M98" s="76" t="n"/>
      <c r="N98" s="76" t="n"/>
      <c r="O98" s="76" t="n"/>
      <c r="P98" s="76" t="n"/>
      <c r="Q98" s="77" t="n"/>
    </row>
    <row r="99">
      <c r="A99" s="74" t="n"/>
      <c r="B99" s="75" t="n"/>
      <c r="C99" s="75" t="n"/>
      <c r="D99" s="76" t="n"/>
      <c r="E99" s="76" t="n"/>
      <c r="F99" s="76" t="n"/>
      <c r="G99" s="76" t="n"/>
      <c r="H99" s="76" t="n"/>
      <c r="I99" s="76" t="n"/>
      <c r="J99" s="76" t="n"/>
      <c r="K99" s="76" t="n"/>
      <c r="L99" s="76" t="n"/>
      <c r="M99" s="76" t="n"/>
      <c r="N99" s="76" t="n"/>
      <c r="O99" s="76" t="n"/>
      <c r="P99" s="76" t="n"/>
      <c r="Q99" s="77" t="n"/>
    </row>
    <row r="100">
      <c r="A100" s="74" t="n"/>
      <c r="B100" s="75" t="n"/>
      <c r="C100" s="75" t="n"/>
      <c r="D100" s="76" t="n"/>
      <c r="E100" s="76" t="n"/>
      <c r="F100" s="76" t="n"/>
      <c r="G100" s="76" t="n"/>
      <c r="H100" s="76" t="n"/>
      <c r="I100" s="76" t="n"/>
      <c r="J100" s="76" t="n"/>
      <c r="K100" s="76" t="n"/>
      <c r="L100" s="76" t="n"/>
      <c r="M100" s="76" t="n"/>
      <c r="N100" s="76" t="n"/>
      <c r="O100" s="76" t="n"/>
      <c r="P100" s="76" t="n"/>
      <c r="Q100" s="77" t="n"/>
    </row>
    <row r="101">
      <c r="A101" s="74" t="n"/>
      <c r="B101" s="75" t="n"/>
      <c r="C101" s="75" t="n"/>
      <c r="D101" s="76" t="n"/>
      <c r="E101" s="76" t="n"/>
      <c r="F101" s="76" t="n"/>
      <c r="G101" s="76" t="n"/>
      <c r="H101" s="76" t="n"/>
      <c r="I101" s="76" t="n"/>
      <c r="J101" s="76" t="n"/>
      <c r="K101" s="76" t="n"/>
      <c r="L101" s="76" t="n"/>
      <c r="M101" s="76" t="n"/>
      <c r="N101" s="76" t="n"/>
      <c r="O101" s="76" t="n"/>
      <c r="P101" s="76" t="n"/>
      <c r="Q101" s="77" t="n"/>
    </row>
    <row r="102">
      <c r="A102" s="74" t="n"/>
      <c r="B102" s="75" t="n"/>
      <c r="C102" s="75" t="n"/>
      <c r="D102" s="76" t="n"/>
      <c r="E102" s="76" t="n"/>
      <c r="F102" s="76" t="n"/>
      <c r="G102" s="76" t="n"/>
      <c r="H102" s="76" t="n"/>
      <c r="I102" s="76" t="n"/>
      <c r="J102" s="76" t="n"/>
      <c r="K102" s="76" t="n"/>
      <c r="L102" s="76" t="n"/>
      <c r="M102" s="76" t="n"/>
      <c r="N102" s="76" t="n"/>
      <c r="O102" s="76" t="n"/>
      <c r="P102" s="76" t="n"/>
      <c r="Q102" s="77" t="n"/>
    </row>
    <row r="103">
      <c r="A103" s="74" t="n"/>
      <c r="B103" s="75" t="n"/>
      <c r="C103" s="75" t="n"/>
      <c r="D103" s="76" t="n"/>
      <c r="E103" s="76" t="n"/>
      <c r="F103" s="76" t="n"/>
      <c r="G103" s="76" t="n"/>
      <c r="H103" s="76" t="n"/>
      <c r="I103" s="76" t="n"/>
      <c r="J103" s="76" t="n"/>
      <c r="K103" s="76" t="n"/>
      <c r="L103" s="76" t="n"/>
      <c r="M103" s="76" t="n"/>
      <c r="N103" s="76" t="n"/>
      <c r="O103" s="76" t="n"/>
      <c r="P103" s="76" t="n"/>
      <c r="Q103" s="77" t="n"/>
    </row>
    <row r="104">
      <c r="A104" s="74" t="n"/>
      <c r="B104" s="75" t="n"/>
      <c r="C104" s="75" t="n"/>
      <c r="D104" s="76" t="n"/>
      <c r="E104" s="76" t="n"/>
      <c r="F104" s="76" t="n"/>
      <c r="G104" s="76" t="n"/>
      <c r="H104" s="76" t="n"/>
      <c r="I104" s="76" t="n"/>
      <c r="J104" s="76" t="n"/>
      <c r="K104" s="76" t="n"/>
      <c r="L104" s="76" t="n"/>
      <c r="M104" s="76" t="n"/>
      <c r="N104" s="76" t="n"/>
      <c r="O104" s="76" t="n"/>
      <c r="P104" s="76" t="n"/>
      <c r="Q104" s="77" t="n"/>
    </row>
    <row r="105">
      <c r="A105" s="74" t="n"/>
      <c r="B105" s="75" t="n"/>
      <c r="C105" s="75" t="n"/>
      <c r="D105" s="76" t="n"/>
      <c r="E105" s="76" t="n"/>
      <c r="F105" s="76" t="n"/>
      <c r="G105" s="76" t="n"/>
      <c r="H105" s="76" t="n"/>
      <c r="I105" s="76" t="n"/>
      <c r="J105" s="76" t="n"/>
      <c r="K105" s="76" t="n"/>
      <c r="L105" s="76" t="n"/>
      <c r="M105" s="76" t="n"/>
      <c r="N105" s="76" t="n"/>
      <c r="O105" s="76" t="n"/>
      <c r="P105" s="76" t="n"/>
      <c r="Q105" s="77" t="n"/>
    </row>
    <row r="106">
      <c r="A106" s="74" t="n"/>
      <c r="B106" s="75" t="n"/>
      <c r="C106" s="75" t="n"/>
      <c r="D106" s="76" t="n"/>
      <c r="E106" s="76" t="n"/>
      <c r="F106" s="76" t="n"/>
      <c r="G106" s="76" t="n"/>
      <c r="H106" s="76" t="n"/>
      <c r="I106" s="76" t="n"/>
      <c r="J106" s="76" t="n"/>
      <c r="K106" s="76" t="n"/>
      <c r="L106" s="76" t="n"/>
      <c r="M106" s="76" t="n"/>
      <c r="N106" s="76" t="n"/>
      <c r="O106" s="76" t="n"/>
      <c r="P106" s="76" t="n"/>
      <c r="Q106" s="77" t="n"/>
    </row>
    <row r="107">
      <c r="A107" s="74" t="n"/>
      <c r="B107" s="75" t="n"/>
      <c r="C107" s="75" t="n"/>
      <c r="D107" s="76" t="n"/>
      <c r="E107" s="76" t="n"/>
      <c r="F107" s="76" t="n"/>
      <c r="G107" s="76" t="n"/>
      <c r="H107" s="76" t="n"/>
      <c r="I107" s="76" t="n"/>
      <c r="J107" s="76" t="n"/>
      <c r="K107" s="76" t="n"/>
      <c r="L107" s="76" t="n"/>
      <c r="M107" s="76" t="n"/>
      <c r="N107" s="76" t="n"/>
      <c r="O107" s="76" t="n"/>
      <c r="P107" s="76" t="n"/>
      <c r="Q107" s="77" t="n"/>
    </row>
    <row r="108">
      <c r="A108" s="74" t="n"/>
      <c r="B108" s="75" t="n"/>
      <c r="C108" s="75" t="n"/>
      <c r="D108" s="76" t="n"/>
      <c r="E108" s="76" t="n"/>
      <c r="F108" s="76" t="n"/>
      <c r="G108" s="76" t="n"/>
      <c r="H108" s="76" t="n"/>
      <c r="I108" s="76" t="n"/>
      <c r="J108" s="76" t="n"/>
      <c r="K108" s="76" t="n"/>
      <c r="L108" s="76" t="n"/>
      <c r="M108" s="76" t="n"/>
      <c r="N108" s="76" t="n"/>
      <c r="O108" s="76" t="n"/>
      <c r="P108" s="76" t="n"/>
      <c r="Q108" s="77" t="n"/>
    </row>
    <row r="109">
      <c r="A109" s="74" t="n"/>
      <c r="B109" s="75" t="n"/>
      <c r="C109" s="75" t="n"/>
      <c r="D109" s="76" t="n"/>
      <c r="E109" s="76" t="n"/>
      <c r="F109" s="76" t="n"/>
      <c r="G109" s="76" t="n"/>
      <c r="H109" s="76" t="n"/>
      <c r="I109" s="76" t="n"/>
      <c r="J109" s="76" t="n"/>
      <c r="K109" s="76" t="n"/>
      <c r="L109" s="76" t="n"/>
      <c r="M109" s="76" t="n"/>
      <c r="N109" s="76" t="n"/>
      <c r="O109" s="76" t="n"/>
      <c r="P109" s="76" t="n"/>
      <c r="Q109" s="77" t="n"/>
    </row>
    <row r="110">
      <c r="A110" s="74" t="n"/>
      <c r="B110" s="75" t="n"/>
      <c r="C110" s="75" t="n"/>
      <c r="D110" s="76" t="n"/>
      <c r="E110" s="76" t="n"/>
      <c r="F110" s="76" t="n"/>
      <c r="G110" s="76" t="n"/>
      <c r="H110" s="76" t="n"/>
      <c r="I110" s="76" t="n"/>
      <c r="J110" s="76" t="n"/>
      <c r="K110" s="76" t="n"/>
      <c r="L110" s="76" t="n"/>
      <c r="M110" s="76" t="n"/>
      <c r="N110" s="76" t="n"/>
      <c r="O110" s="76" t="n"/>
      <c r="P110" s="76" t="n"/>
      <c r="Q110" s="77" t="n"/>
    </row>
    <row r="111">
      <c r="A111" s="74" t="n"/>
      <c r="B111" s="75" t="n"/>
      <c r="C111" s="75" t="n"/>
      <c r="D111" s="76" t="n"/>
      <c r="E111" s="76" t="n"/>
      <c r="F111" s="76" t="n"/>
      <c r="G111" s="76" t="n"/>
      <c r="H111" s="76" t="n"/>
      <c r="I111" s="76" t="n"/>
      <c r="J111" s="76" t="n"/>
      <c r="K111" s="76" t="n"/>
      <c r="L111" s="76" t="n"/>
      <c r="M111" s="76" t="n"/>
      <c r="N111" s="76" t="n"/>
      <c r="O111" s="76" t="n"/>
      <c r="P111" s="76" t="n"/>
      <c r="Q111" s="77" t="n"/>
    </row>
    <row r="112">
      <c r="A112" s="74" t="n"/>
      <c r="B112" s="75" t="n"/>
      <c r="C112" s="75" t="n"/>
      <c r="D112" s="76" t="n"/>
      <c r="E112" s="76" t="n"/>
      <c r="F112" s="76" t="n"/>
      <c r="G112" s="76" t="n"/>
      <c r="H112" s="76" t="n"/>
      <c r="I112" s="76" t="n"/>
      <c r="J112" s="76" t="n"/>
      <c r="K112" s="76" t="n"/>
      <c r="L112" s="76" t="n"/>
      <c r="M112" s="76" t="n"/>
      <c r="N112" s="76" t="n"/>
      <c r="O112" s="76" t="n"/>
      <c r="P112" s="76" t="n"/>
      <c r="Q112" s="77" t="n"/>
    </row>
    <row r="113">
      <c r="A113" s="74" t="n"/>
      <c r="B113" s="75" t="n"/>
      <c r="C113" s="75" t="n"/>
      <c r="D113" s="76" t="n"/>
      <c r="E113" s="76" t="n"/>
      <c r="F113" s="76" t="n"/>
      <c r="G113" s="76" t="n"/>
      <c r="H113" s="76" t="n"/>
      <c r="I113" s="76" t="n"/>
      <c r="J113" s="76" t="n"/>
      <c r="K113" s="76" t="n"/>
      <c r="L113" s="76" t="n"/>
      <c r="M113" s="76" t="n"/>
      <c r="N113" s="76" t="n"/>
      <c r="O113" s="76" t="n"/>
      <c r="P113" s="76" t="n"/>
      <c r="Q113" s="77" t="n"/>
    </row>
    <row r="114">
      <c r="A114" s="74" t="n"/>
      <c r="B114" s="75" t="n"/>
      <c r="C114" s="75" t="n"/>
      <c r="D114" s="76" t="n"/>
      <c r="E114" s="76" t="n"/>
      <c r="F114" s="76" t="n"/>
      <c r="G114" s="76" t="n"/>
      <c r="H114" s="76" t="n"/>
      <c r="I114" s="76" t="n"/>
      <c r="J114" s="76" t="n"/>
      <c r="K114" s="76" t="n"/>
      <c r="L114" s="76" t="n"/>
      <c r="M114" s="76" t="n"/>
      <c r="N114" s="76" t="n"/>
      <c r="O114" s="76" t="n"/>
      <c r="P114" s="76" t="n"/>
      <c r="Q114" s="77" t="n"/>
    </row>
    <row r="115">
      <c r="A115" s="74" t="n"/>
      <c r="B115" s="75" t="n"/>
      <c r="C115" s="75" t="n"/>
      <c r="D115" s="76" t="n"/>
      <c r="E115" s="76" t="n"/>
      <c r="F115" s="76" t="n"/>
      <c r="G115" s="76" t="n"/>
      <c r="H115" s="76" t="n"/>
      <c r="I115" s="76" t="n"/>
      <c r="J115" s="76" t="n"/>
      <c r="K115" s="76" t="n"/>
      <c r="L115" s="76" t="n"/>
      <c r="M115" s="76" t="n"/>
      <c r="N115" s="76" t="n"/>
      <c r="O115" s="76" t="n"/>
      <c r="P115" s="76" t="n"/>
      <c r="Q115" s="77" t="n"/>
    </row>
    <row r="116">
      <c r="A116" s="74" t="n"/>
      <c r="B116" s="75" t="n"/>
      <c r="C116" s="75" t="n"/>
      <c r="D116" s="76" t="n"/>
      <c r="E116" s="76" t="n"/>
      <c r="F116" s="76" t="n"/>
      <c r="G116" s="76" t="n"/>
      <c r="H116" s="76" t="n"/>
      <c r="I116" s="76" t="n"/>
      <c r="J116" s="76" t="n"/>
      <c r="K116" s="76" t="n"/>
      <c r="L116" s="76" t="n"/>
      <c r="M116" s="76" t="n"/>
      <c r="N116" s="76" t="n"/>
      <c r="O116" s="76" t="n"/>
      <c r="P116" s="76" t="n"/>
      <c r="Q116" s="77" t="n"/>
    </row>
    <row r="117">
      <c r="A117" s="74" t="n"/>
      <c r="B117" s="75" t="n"/>
      <c r="C117" s="75" t="n"/>
      <c r="D117" s="76" t="n"/>
      <c r="E117" s="76" t="n"/>
      <c r="F117" s="76" t="n"/>
      <c r="G117" s="76" t="n"/>
      <c r="H117" s="76" t="n"/>
      <c r="I117" s="76" t="n"/>
      <c r="J117" s="76" t="n"/>
      <c r="K117" s="76" t="n"/>
      <c r="L117" s="76" t="n"/>
      <c r="M117" s="76" t="n"/>
      <c r="N117" s="76" t="n"/>
      <c r="O117" s="76" t="n"/>
      <c r="P117" s="76" t="n"/>
      <c r="Q117" s="77" t="n"/>
    </row>
    <row r="118">
      <c r="A118" s="74" t="n"/>
      <c r="B118" s="75" t="n"/>
      <c r="C118" s="75" t="n"/>
      <c r="D118" s="76" t="n"/>
      <c r="E118" s="76" t="n"/>
      <c r="F118" s="76" t="n"/>
      <c r="G118" s="76" t="n"/>
      <c r="H118" s="76" t="n"/>
      <c r="I118" s="76" t="n"/>
      <c r="J118" s="76" t="n"/>
      <c r="K118" s="76" t="n"/>
      <c r="L118" s="76" t="n"/>
      <c r="M118" s="76" t="n"/>
      <c r="N118" s="76" t="n"/>
      <c r="O118" s="76" t="n"/>
      <c r="P118" s="76" t="n"/>
      <c r="Q118" s="77" t="n"/>
    </row>
    <row r="119" ht="15" customHeight="1" s="234">
      <c r="A119" s="334" t="n"/>
      <c r="B119" s="335" t="n"/>
      <c r="C119" s="335" t="n"/>
      <c r="D119" s="336" t="n"/>
      <c r="E119" s="336" t="n"/>
      <c r="F119" s="336" t="n"/>
      <c r="G119" s="336" t="n"/>
      <c r="H119" s="336" t="n"/>
      <c r="I119" s="336" t="n"/>
      <c r="J119" s="336" t="n"/>
      <c r="K119" s="336" t="n"/>
      <c r="L119" s="336" t="n"/>
      <c r="M119" s="336" t="n"/>
      <c r="N119" s="336" t="n"/>
      <c r="O119" s="336" t="n"/>
      <c r="P119" s="336" t="n"/>
      <c r="Q119" s="337" t="n"/>
    </row>
    <row r="120">
      <c r="A120" s="74" t="n"/>
      <c r="B120" s="75" t="n"/>
      <c r="C120" s="75" t="n"/>
      <c r="D120" s="76" t="n"/>
      <c r="E120" s="76" t="n"/>
      <c r="F120" s="76" t="n"/>
      <c r="G120" s="76" t="n"/>
      <c r="H120" s="76" t="n"/>
      <c r="I120" s="76" t="n"/>
      <c r="J120" s="76" t="n"/>
      <c r="K120" s="76" t="n"/>
      <c r="L120" s="76" t="n"/>
      <c r="M120" s="76" t="n"/>
      <c r="N120" s="76" t="n"/>
      <c r="O120" s="76" t="n"/>
      <c r="P120" s="76" t="n"/>
      <c r="Q120" s="77" t="n"/>
    </row>
    <row r="121">
      <c r="A121" s="74" t="n"/>
      <c r="B121" s="75" t="n"/>
      <c r="C121" s="75" t="n"/>
      <c r="D121" s="76" t="n"/>
      <c r="E121" s="76" t="n"/>
      <c r="F121" s="76" t="n"/>
      <c r="G121" s="76" t="n"/>
      <c r="H121" s="76" t="n"/>
      <c r="I121" s="76" t="n"/>
      <c r="J121" s="76" t="n"/>
      <c r="K121" s="76" t="n"/>
      <c r="L121" s="76" t="n"/>
      <c r="M121" s="76" t="n"/>
      <c r="N121" s="76" t="n"/>
      <c r="O121" s="76" t="n"/>
      <c r="P121" s="76" t="n"/>
      <c r="Q121" s="77" t="n"/>
    </row>
    <row r="122">
      <c r="A122" s="74" t="n"/>
      <c r="B122" s="75" t="n"/>
      <c r="C122" s="75" t="n"/>
      <c r="D122" s="76" t="n"/>
      <c r="E122" s="76" t="n"/>
      <c r="F122" s="76" t="n"/>
      <c r="G122" s="76" t="n"/>
      <c r="H122" s="76" t="n"/>
      <c r="I122" s="76" t="n"/>
      <c r="J122" s="76" t="n"/>
      <c r="K122" s="76" t="n"/>
      <c r="L122" s="76" t="n"/>
      <c r="M122" s="76" t="n"/>
      <c r="N122" s="76" t="n"/>
      <c r="O122" s="76" t="n"/>
      <c r="P122" s="76" t="n"/>
      <c r="Q122" s="77" t="n"/>
    </row>
    <row r="123">
      <c r="A123" s="74" t="n"/>
      <c r="B123" s="75" t="n"/>
      <c r="C123" s="75" t="n"/>
      <c r="D123" s="76" t="n"/>
      <c r="E123" s="76" t="n"/>
      <c r="F123" s="76" t="n"/>
      <c r="G123" s="76" t="n"/>
      <c r="H123" s="76" t="n"/>
      <c r="I123" s="76" t="n"/>
      <c r="J123" s="76" t="n"/>
      <c r="K123" s="76" t="n"/>
      <c r="L123" s="76" t="n"/>
      <c r="M123" s="76" t="n"/>
      <c r="N123" s="76" t="n"/>
      <c r="O123" s="76" t="n"/>
      <c r="P123" s="76" t="n"/>
      <c r="Q123" s="77" t="n"/>
    </row>
    <row r="124">
      <c r="A124" s="74" t="n"/>
      <c r="B124" s="75" t="n"/>
      <c r="C124" s="75" t="n"/>
      <c r="D124" s="76" t="n"/>
      <c r="E124" s="76" t="n"/>
      <c r="F124" s="76" t="n"/>
      <c r="G124" s="76" t="n"/>
      <c r="H124" s="76" t="n"/>
      <c r="I124" s="76" t="n"/>
      <c r="J124" s="76" t="n"/>
      <c r="K124" s="76" t="n"/>
      <c r="L124" s="76" t="n"/>
      <c r="M124" s="76" t="n"/>
      <c r="N124" s="76" t="n"/>
      <c r="O124" s="76" t="n"/>
      <c r="P124" s="76" t="n"/>
      <c r="Q124" s="77" t="n"/>
    </row>
    <row r="125">
      <c r="A125" s="74" t="n"/>
      <c r="B125" s="75" t="n"/>
      <c r="C125" s="75" t="n"/>
      <c r="D125" s="76" t="n"/>
      <c r="E125" s="76" t="n"/>
      <c r="F125" s="76" t="n"/>
      <c r="G125" s="76" t="n"/>
      <c r="H125" s="76" t="n"/>
      <c r="I125" s="76" t="n"/>
      <c r="J125" s="76" t="n"/>
      <c r="K125" s="76" t="n"/>
      <c r="L125" s="76" t="n"/>
      <c r="M125" s="76" t="n"/>
      <c r="N125" s="76" t="n"/>
      <c r="O125" s="76" t="n"/>
      <c r="P125" s="76" t="n"/>
      <c r="Q125" s="77" t="n"/>
    </row>
    <row r="126">
      <c r="A126" s="74" t="n"/>
      <c r="B126" s="75" t="n"/>
      <c r="C126" s="75" t="n"/>
      <c r="D126" s="76" t="n"/>
      <c r="E126" s="76" t="n"/>
      <c r="F126" s="76" t="n"/>
      <c r="G126" s="76" t="n"/>
      <c r="H126" s="76" t="n"/>
      <c r="I126" s="76" t="n"/>
      <c r="J126" s="76" t="n"/>
      <c r="K126" s="76" t="n"/>
      <c r="L126" s="76" t="n"/>
      <c r="M126" s="76" t="n"/>
      <c r="N126" s="76" t="n"/>
      <c r="O126" s="76" t="n"/>
      <c r="P126" s="76" t="n"/>
      <c r="Q126" s="77" t="n"/>
    </row>
    <row r="127">
      <c r="A127" s="74" t="n"/>
      <c r="B127" s="75" t="n"/>
      <c r="C127" s="75" t="n"/>
      <c r="D127" s="76" t="n"/>
      <c r="E127" s="76" t="n"/>
      <c r="F127" s="76" t="n"/>
      <c r="G127" s="76" t="n"/>
      <c r="H127" s="76" t="n"/>
      <c r="I127" s="76" t="n"/>
      <c r="J127" s="76" t="n"/>
      <c r="K127" s="76" t="n"/>
      <c r="L127" s="76" t="n"/>
      <c r="M127" s="76" t="n"/>
      <c r="N127" s="76" t="n"/>
      <c r="O127" s="76" t="n"/>
      <c r="P127" s="76" t="n"/>
      <c r="Q127" s="77" t="n"/>
    </row>
    <row r="128">
      <c r="A128" s="74" t="n"/>
      <c r="B128" s="75" t="n"/>
      <c r="C128" s="75" t="n"/>
      <c r="D128" s="76" t="n"/>
      <c r="E128" s="76" t="n"/>
      <c r="F128" s="76" t="n"/>
      <c r="G128" s="76" t="n"/>
      <c r="H128" s="76" t="n"/>
      <c r="I128" s="76" t="n"/>
      <c r="J128" s="76" t="n"/>
      <c r="K128" s="76" t="n"/>
      <c r="L128" s="76" t="n"/>
      <c r="M128" s="76" t="n"/>
      <c r="N128" s="76" t="n"/>
      <c r="O128" s="76" t="n"/>
      <c r="P128" s="76" t="n"/>
      <c r="Q128" s="77" t="n"/>
    </row>
    <row r="129">
      <c r="A129" s="74" t="n"/>
      <c r="B129" s="75" t="n"/>
      <c r="C129" s="75" t="n"/>
      <c r="D129" s="76" t="n"/>
      <c r="E129" s="76" t="n"/>
      <c r="F129" s="76" t="n"/>
      <c r="G129" s="76" t="n"/>
      <c r="H129" s="76" t="n"/>
      <c r="I129" s="76" t="n"/>
      <c r="J129" s="76" t="n"/>
      <c r="K129" s="76" t="n"/>
      <c r="L129" s="76" t="n"/>
      <c r="M129" s="76" t="n"/>
      <c r="N129" s="76" t="n"/>
      <c r="O129" s="76" t="n"/>
      <c r="P129" s="76" t="n"/>
      <c r="Q129" s="77" t="n"/>
    </row>
    <row r="130">
      <c r="A130" s="74" t="n"/>
      <c r="B130" s="75" t="n"/>
      <c r="C130" s="75" t="n"/>
      <c r="D130" s="76" t="n"/>
      <c r="E130" s="76" t="n"/>
      <c r="F130" s="76" t="n"/>
      <c r="G130" s="76" t="n"/>
      <c r="H130" s="76" t="n"/>
      <c r="I130" s="76" t="n"/>
      <c r="J130" s="76" t="n"/>
      <c r="K130" s="76" t="n"/>
      <c r="L130" s="76" t="n"/>
      <c r="M130" s="76" t="n"/>
      <c r="N130" s="76" t="n"/>
      <c r="O130" s="76" t="n"/>
      <c r="P130" s="76" t="n"/>
      <c r="Q130" s="77" t="n"/>
    </row>
    <row r="131">
      <c r="A131" s="74" t="n"/>
      <c r="B131" s="75" t="n"/>
      <c r="C131" s="75" t="n"/>
      <c r="D131" s="76" t="n"/>
      <c r="E131" s="76" t="n"/>
      <c r="F131" s="76" t="n"/>
      <c r="G131" s="76" t="n"/>
      <c r="H131" s="76" t="n"/>
      <c r="I131" s="76" t="n"/>
      <c r="J131" s="76" t="n"/>
      <c r="K131" s="76" t="n"/>
      <c r="L131" s="76" t="n"/>
      <c r="M131" s="76" t="n"/>
      <c r="N131" s="76" t="n"/>
      <c r="O131" s="76" t="n"/>
      <c r="P131" s="76" t="n"/>
      <c r="Q131" s="77" t="n"/>
    </row>
    <row r="132">
      <c r="A132" s="74" t="n"/>
      <c r="B132" s="75" t="n"/>
      <c r="C132" s="75" t="n"/>
      <c r="D132" s="76" t="n"/>
      <c r="E132" s="76" t="n"/>
      <c r="F132" s="76" t="n"/>
      <c r="G132" s="76" t="n"/>
      <c r="H132" s="76" t="n"/>
      <c r="I132" s="76" t="n"/>
      <c r="J132" s="76" t="n"/>
      <c r="K132" s="76" t="n"/>
      <c r="L132" s="76" t="n"/>
      <c r="M132" s="76" t="n"/>
      <c r="N132" s="76" t="n"/>
      <c r="O132" s="76" t="n"/>
      <c r="P132" s="76" t="n"/>
      <c r="Q132" s="77" t="n"/>
    </row>
    <row r="133">
      <c r="A133" s="74" t="n"/>
      <c r="B133" s="75" t="n"/>
      <c r="C133" s="75" t="n"/>
      <c r="D133" s="76" t="n"/>
      <c r="E133" s="76" t="n"/>
      <c r="F133" s="76" t="n"/>
      <c r="G133" s="76" t="n"/>
      <c r="H133" s="76" t="n"/>
      <c r="I133" s="76" t="n"/>
      <c r="J133" s="76" t="n"/>
      <c r="K133" s="76" t="n"/>
      <c r="L133" s="76" t="n"/>
      <c r="M133" s="76" t="n"/>
      <c r="N133" s="76" t="n"/>
      <c r="O133" s="76" t="n"/>
      <c r="P133" s="76" t="n"/>
      <c r="Q133" s="77" t="n"/>
    </row>
    <row r="134">
      <c r="A134" s="74" t="n"/>
      <c r="B134" s="75" t="n"/>
      <c r="C134" s="75" t="n"/>
      <c r="D134" s="76" t="n"/>
      <c r="E134" s="76" t="n"/>
      <c r="F134" s="76" t="n"/>
      <c r="G134" s="76" t="n"/>
      <c r="H134" s="76" t="n"/>
      <c r="I134" s="76" t="n"/>
      <c r="J134" s="76" t="n"/>
      <c r="K134" s="76" t="n"/>
      <c r="L134" s="76" t="n"/>
      <c r="M134" s="76" t="n"/>
      <c r="N134" s="76" t="n"/>
      <c r="O134" s="76" t="n"/>
      <c r="P134" s="76" t="n"/>
      <c r="Q134" s="77" t="n"/>
    </row>
    <row r="135">
      <c r="A135" s="74" t="n"/>
      <c r="B135" s="75" t="n"/>
      <c r="C135" s="75" t="n"/>
      <c r="D135" s="76" t="n"/>
      <c r="E135" s="76" t="n"/>
      <c r="F135" s="76" t="n"/>
      <c r="G135" s="76" t="n"/>
      <c r="H135" s="76" t="n"/>
      <c r="I135" s="76" t="n"/>
      <c r="J135" s="76" t="n"/>
      <c r="K135" s="76" t="n"/>
      <c r="L135" s="76" t="n"/>
      <c r="M135" s="76" t="n"/>
      <c r="N135" s="76" t="n"/>
      <c r="O135" s="76" t="n"/>
      <c r="P135" s="76" t="n"/>
      <c r="Q135" s="77" t="n"/>
    </row>
    <row r="136" ht="15" customHeight="1" s="234">
      <c r="A136" s="334" t="n"/>
      <c r="B136" s="335" t="n"/>
      <c r="C136" s="335" t="n"/>
      <c r="D136" s="336" t="n"/>
      <c r="E136" s="336" t="n"/>
      <c r="F136" s="336" t="n"/>
      <c r="G136" s="336" t="n"/>
      <c r="H136" s="336" t="n"/>
      <c r="I136" s="336" t="n"/>
      <c r="J136" s="336" t="n"/>
      <c r="K136" s="336" t="n"/>
      <c r="L136" s="336" t="n"/>
      <c r="M136" s="336" t="n"/>
      <c r="N136" s="336" t="n"/>
      <c r="O136" s="336" t="n"/>
      <c r="P136" s="336" t="n"/>
      <c r="Q136" s="337" t="n"/>
    </row>
    <row r="137">
      <c r="A137" s="74" t="n"/>
      <c r="B137" s="75" t="n"/>
      <c r="C137" s="75" t="n"/>
      <c r="D137" s="76" t="n"/>
      <c r="E137" s="76" t="n"/>
      <c r="F137" s="76" t="n"/>
      <c r="G137" s="76" t="n"/>
      <c r="H137" s="76" t="n"/>
      <c r="I137" s="76" t="n"/>
      <c r="J137" s="76" t="n"/>
      <c r="K137" s="76" t="n"/>
      <c r="L137" s="76" t="n"/>
      <c r="M137" s="76" t="n"/>
      <c r="N137" s="76" t="n"/>
      <c r="O137" s="76" t="n"/>
      <c r="P137" s="76" t="n"/>
      <c r="Q137" s="77" t="n"/>
    </row>
    <row r="138">
      <c r="A138" s="74" t="n"/>
      <c r="B138" s="75" t="n"/>
      <c r="C138" s="75" t="n"/>
      <c r="D138" s="76" t="n"/>
      <c r="E138" s="76" t="n"/>
      <c r="F138" s="76" t="n"/>
      <c r="G138" s="76" t="n"/>
      <c r="H138" s="76" t="n"/>
      <c r="I138" s="76" t="n"/>
      <c r="J138" s="76" t="n"/>
      <c r="K138" s="76" t="n"/>
      <c r="L138" s="76" t="n"/>
      <c r="M138" s="76" t="n"/>
      <c r="N138" s="76" t="n"/>
      <c r="O138" s="76" t="n"/>
      <c r="P138" s="76" t="n"/>
      <c r="Q138" s="77" t="n"/>
    </row>
    <row r="139">
      <c r="A139" s="74" t="n"/>
      <c r="B139" s="75" t="n"/>
      <c r="C139" s="75" t="n"/>
      <c r="D139" s="76" t="n"/>
      <c r="E139" s="76" t="n"/>
      <c r="F139" s="76" t="n"/>
      <c r="G139" s="76" t="n"/>
      <c r="H139" s="76" t="n"/>
      <c r="I139" s="76" t="n"/>
      <c r="J139" s="76" t="n"/>
      <c r="K139" s="76" t="n"/>
      <c r="L139" s="76" t="n"/>
      <c r="M139" s="76" t="n"/>
      <c r="N139" s="76" t="n"/>
      <c r="O139" s="76" t="n"/>
      <c r="P139" s="76" t="n"/>
      <c r="Q139" s="77" t="n"/>
    </row>
    <row r="140">
      <c r="A140" s="74" t="n"/>
      <c r="B140" s="75" t="n"/>
      <c r="C140" s="75" t="n"/>
      <c r="D140" s="76" t="n"/>
      <c r="E140" s="76" t="n"/>
      <c r="F140" s="76" t="n"/>
      <c r="G140" s="76" t="n"/>
      <c r="H140" s="76" t="n"/>
      <c r="I140" s="76" t="n"/>
      <c r="J140" s="76" t="n"/>
      <c r="K140" s="76" t="n"/>
      <c r="L140" s="76" t="n"/>
      <c r="M140" s="76" t="n"/>
      <c r="N140" s="76" t="n"/>
      <c r="O140" s="76" t="n"/>
      <c r="P140" s="76" t="n"/>
      <c r="Q140" s="77" t="n"/>
    </row>
    <row r="141">
      <c r="A141" s="74" t="n"/>
      <c r="B141" s="75" t="n"/>
      <c r="C141" s="75" t="n"/>
      <c r="D141" s="76" t="n"/>
      <c r="E141" s="76" t="n"/>
      <c r="F141" s="76" t="n"/>
      <c r="G141" s="76" t="n"/>
      <c r="H141" s="76" t="n"/>
      <c r="I141" s="76" t="n"/>
      <c r="J141" s="76" t="n"/>
      <c r="K141" s="76" t="n"/>
      <c r="L141" s="76" t="n"/>
      <c r="M141" s="76" t="n"/>
      <c r="N141" s="76" t="n"/>
      <c r="O141" s="76" t="n"/>
      <c r="P141" s="76" t="n"/>
      <c r="Q141" s="77" t="n"/>
    </row>
    <row r="142">
      <c r="A142" s="74" t="n"/>
      <c r="B142" s="75" t="n"/>
      <c r="C142" s="75" t="n"/>
      <c r="D142" s="76" t="n"/>
      <c r="E142" s="76" t="n"/>
      <c r="F142" s="76" t="n"/>
      <c r="G142" s="76" t="n"/>
      <c r="H142" s="76" t="n"/>
      <c r="I142" s="76" t="n"/>
      <c r="J142" s="76" t="n"/>
      <c r="K142" s="76" t="n"/>
      <c r="L142" s="76" t="n"/>
      <c r="M142" s="76" t="n"/>
      <c r="N142" s="76" t="n"/>
      <c r="O142" s="76" t="n"/>
      <c r="P142" s="76" t="n"/>
      <c r="Q142" s="77" t="n"/>
    </row>
    <row r="143">
      <c r="A143" s="74" t="n"/>
      <c r="B143" s="75" t="n"/>
      <c r="C143" s="75" t="n"/>
      <c r="D143" s="76" t="n"/>
      <c r="E143" s="76" t="n"/>
      <c r="F143" s="76" t="n"/>
      <c r="G143" s="76" t="n"/>
      <c r="H143" s="76" t="n"/>
      <c r="I143" s="76" t="n"/>
      <c r="J143" s="76" t="n"/>
      <c r="K143" s="76" t="n"/>
      <c r="L143" s="76" t="n"/>
      <c r="M143" s="76" t="n"/>
      <c r="N143" s="76" t="n"/>
      <c r="O143" s="76" t="n"/>
      <c r="P143" s="76" t="n"/>
      <c r="Q143" s="77" t="n"/>
    </row>
    <row r="144">
      <c r="A144" s="74" t="n"/>
      <c r="B144" s="75" t="n"/>
      <c r="C144" s="75" t="n"/>
      <c r="D144" s="76" t="n"/>
      <c r="E144" s="76" t="n"/>
      <c r="F144" s="76" t="n"/>
      <c r="G144" s="76" t="n"/>
      <c r="H144" s="76" t="n"/>
      <c r="I144" s="76" t="n"/>
      <c r="J144" s="76" t="n"/>
      <c r="K144" s="76" t="n"/>
      <c r="L144" s="76" t="n"/>
      <c r="M144" s="76" t="n"/>
      <c r="N144" s="76" t="n"/>
      <c r="O144" s="76" t="n"/>
      <c r="P144" s="76" t="n"/>
      <c r="Q144" s="77" t="n"/>
    </row>
    <row r="145">
      <c r="A145" s="74" t="n"/>
      <c r="B145" s="75" t="n"/>
      <c r="C145" s="75" t="n"/>
      <c r="D145" s="76" t="n"/>
      <c r="E145" s="76" t="n"/>
      <c r="F145" s="76" t="n"/>
      <c r="G145" s="76" t="n"/>
      <c r="H145" s="76" t="n"/>
      <c r="I145" s="76" t="n"/>
      <c r="J145" s="76" t="n"/>
      <c r="K145" s="76" t="n"/>
      <c r="L145" s="76" t="n"/>
      <c r="M145" s="76" t="n"/>
      <c r="N145" s="76" t="n"/>
      <c r="O145" s="76" t="n"/>
      <c r="P145" s="76" t="n"/>
      <c r="Q145" s="77" t="n"/>
    </row>
    <row r="146">
      <c r="A146" s="74" t="n"/>
      <c r="B146" s="75" t="n"/>
      <c r="C146" s="75" t="n"/>
      <c r="D146" s="76" t="n"/>
      <c r="E146" s="76" t="n"/>
      <c r="F146" s="76" t="n"/>
      <c r="G146" s="76" t="n"/>
      <c r="H146" s="76" t="n"/>
      <c r="I146" s="76" t="n"/>
      <c r="J146" s="76" t="n"/>
      <c r="K146" s="76" t="n"/>
      <c r="L146" s="76" t="n"/>
      <c r="M146" s="76" t="n"/>
      <c r="N146" s="76" t="n"/>
      <c r="O146" s="76" t="n"/>
      <c r="P146" s="76" t="n"/>
      <c r="Q146" s="77" t="n"/>
    </row>
    <row r="147">
      <c r="A147" s="74" t="n"/>
      <c r="B147" s="75" t="n"/>
      <c r="C147" s="75" t="n"/>
      <c r="D147" s="76" t="n"/>
      <c r="E147" s="76" t="n"/>
      <c r="F147" s="76" t="n"/>
      <c r="G147" s="76" t="n"/>
      <c r="H147" s="76" t="n"/>
      <c r="I147" s="76" t="n"/>
      <c r="J147" s="76" t="n"/>
      <c r="K147" s="76" t="n"/>
      <c r="L147" s="76" t="n"/>
      <c r="M147" s="76" t="n"/>
      <c r="N147" s="76" t="n"/>
      <c r="O147" s="76" t="n"/>
      <c r="P147" s="76" t="n"/>
      <c r="Q147" s="77" t="n"/>
    </row>
    <row r="148">
      <c r="A148" s="74" t="n"/>
      <c r="B148" s="75" t="n"/>
      <c r="C148" s="75" t="n"/>
      <c r="D148" s="76" t="n"/>
      <c r="E148" s="76" t="n"/>
      <c r="F148" s="76" t="n"/>
      <c r="G148" s="76" t="n"/>
      <c r="H148" s="76" t="n"/>
      <c r="I148" s="76" t="n"/>
      <c r="J148" s="76" t="n"/>
      <c r="K148" s="76" t="n"/>
      <c r="L148" s="76" t="n"/>
      <c r="M148" s="76" t="n"/>
      <c r="N148" s="76" t="n"/>
      <c r="O148" s="76" t="n"/>
      <c r="P148" s="76" t="n"/>
      <c r="Q148" s="77" t="n"/>
    </row>
    <row r="149">
      <c r="A149" s="74" t="n"/>
      <c r="B149" s="75" t="n"/>
      <c r="C149" s="75" t="n"/>
      <c r="D149" s="76" t="n"/>
      <c r="E149" s="76" t="n"/>
      <c r="F149" s="76" t="n"/>
      <c r="G149" s="76" t="n"/>
      <c r="H149" s="76" t="n"/>
      <c r="I149" s="76" t="n"/>
      <c r="J149" s="76" t="n"/>
      <c r="K149" s="76" t="n"/>
      <c r="L149" s="76" t="n"/>
      <c r="M149" s="76" t="n"/>
      <c r="N149" s="76" t="n"/>
      <c r="O149" s="76" t="n"/>
      <c r="P149" s="76" t="n"/>
      <c r="Q149" s="77" t="n"/>
    </row>
    <row r="150">
      <c r="A150" s="74" t="n"/>
      <c r="B150" s="75" t="n"/>
      <c r="C150" s="75" t="n"/>
      <c r="D150" s="76" t="n"/>
      <c r="E150" s="76" t="n"/>
      <c r="F150" s="76" t="n"/>
      <c r="G150" s="76" t="n"/>
      <c r="H150" s="76" t="n"/>
      <c r="I150" s="76" t="n"/>
      <c r="J150" s="76" t="n"/>
      <c r="K150" s="76" t="n"/>
      <c r="L150" s="76" t="n"/>
      <c r="M150" s="76" t="n"/>
      <c r="N150" s="76" t="n"/>
      <c r="O150" s="76" t="n"/>
      <c r="P150" s="76" t="n"/>
      <c r="Q150" s="77" t="n"/>
    </row>
    <row r="151">
      <c r="A151" s="74" t="n"/>
      <c r="B151" s="75" t="n"/>
      <c r="C151" s="75" t="n"/>
      <c r="D151" s="76" t="n"/>
      <c r="E151" s="76" t="n"/>
      <c r="F151" s="76" t="n"/>
      <c r="G151" s="76" t="n"/>
      <c r="H151" s="76" t="n"/>
      <c r="I151" s="76" t="n"/>
      <c r="J151" s="76" t="n"/>
      <c r="K151" s="76" t="n"/>
      <c r="L151" s="76" t="n"/>
      <c r="M151" s="76" t="n"/>
      <c r="N151" s="76" t="n"/>
      <c r="O151" s="76" t="n"/>
      <c r="P151" s="76" t="n"/>
      <c r="Q151" s="77" t="n"/>
    </row>
    <row r="152">
      <c r="A152" s="74" t="n"/>
      <c r="B152" s="75" t="n"/>
      <c r="C152" s="75" t="n"/>
      <c r="D152" s="76" t="n"/>
      <c r="E152" s="76" t="n"/>
      <c r="F152" s="76" t="n"/>
      <c r="G152" s="76" t="n"/>
      <c r="H152" s="76" t="n"/>
      <c r="I152" s="76" t="n"/>
      <c r="J152" s="76" t="n"/>
      <c r="K152" s="76" t="n"/>
      <c r="L152" s="76" t="n"/>
      <c r="M152" s="76" t="n"/>
      <c r="N152" s="76" t="n"/>
      <c r="O152" s="76" t="n"/>
      <c r="P152" s="76" t="n"/>
      <c r="Q152" s="77" t="n"/>
    </row>
    <row r="153">
      <c r="A153" s="74" t="n"/>
      <c r="B153" s="75" t="n"/>
      <c r="C153" s="75" t="n"/>
      <c r="D153" s="76" t="n"/>
      <c r="E153" s="76" t="n"/>
      <c r="F153" s="76" t="n"/>
      <c r="G153" s="76" t="n"/>
      <c r="H153" s="76" t="n"/>
      <c r="I153" s="76" t="n"/>
      <c r="J153" s="76" t="n"/>
      <c r="K153" s="76" t="n"/>
      <c r="L153" s="76" t="n"/>
      <c r="M153" s="76" t="n"/>
      <c r="N153" s="76" t="n"/>
      <c r="O153" s="76" t="n"/>
      <c r="P153" s="76" t="n"/>
      <c r="Q153" s="77" t="n"/>
    </row>
    <row r="154">
      <c r="A154" s="74" t="n"/>
      <c r="B154" s="75" t="n"/>
      <c r="C154" s="75" t="n"/>
      <c r="D154" s="76" t="n"/>
      <c r="E154" s="76" t="n"/>
      <c r="F154" s="76" t="n"/>
      <c r="G154" s="76" t="n"/>
      <c r="H154" s="76" t="n"/>
      <c r="I154" s="76" t="n"/>
      <c r="J154" s="76" t="n"/>
      <c r="K154" s="76" t="n"/>
      <c r="L154" s="76" t="n"/>
      <c r="M154" s="76" t="n"/>
      <c r="N154" s="76" t="n"/>
      <c r="O154" s="76" t="n"/>
      <c r="P154" s="76" t="n"/>
      <c r="Q154" s="77" t="n"/>
    </row>
    <row r="155">
      <c r="A155" s="74" t="n"/>
      <c r="B155" s="75" t="n"/>
      <c r="C155" s="75" t="n"/>
      <c r="D155" s="76" t="n"/>
      <c r="E155" s="76" t="n"/>
      <c r="F155" s="76" t="n"/>
      <c r="G155" s="76" t="n"/>
      <c r="H155" s="76" t="n"/>
      <c r="I155" s="76" t="n"/>
      <c r="J155" s="76" t="n"/>
      <c r="K155" s="76" t="n"/>
      <c r="L155" s="76" t="n"/>
      <c r="M155" s="76" t="n"/>
      <c r="N155" s="76" t="n"/>
      <c r="O155" s="76" t="n"/>
      <c r="P155" s="76" t="n"/>
      <c r="Q155" s="77" t="n"/>
    </row>
    <row r="156">
      <c r="A156" s="74" t="n"/>
      <c r="B156" s="75" t="n"/>
      <c r="C156" s="75" t="n"/>
      <c r="D156" s="76" t="n"/>
      <c r="E156" s="76" t="n"/>
      <c r="F156" s="76" t="n"/>
      <c r="G156" s="76" t="n"/>
      <c r="H156" s="76" t="n"/>
      <c r="I156" s="76" t="n"/>
      <c r="J156" s="76" t="n"/>
      <c r="K156" s="76" t="n"/>
      <c r="L156" s="76" t="n"/>
      <c r="M156" s="76" t="n"/>
      <c r="N156" s="76" t="n"/>
      <c r="O156" s="76" t="n"/>
      <c r="P156" s="76" t="n"/>
      <c r="Q156" s="77" t="n"/>
    </row>
    <row r="157">
      <c r="A157" s="74" t="n"/>
      <c r="B157" s="75" t="n"/>
      <c r="C157" s="75" t="n"/>
      <c r="D157" s="76" t="n"/>
      <c r="E157" s="76" t="n"/>
      <c r="F157" s="76" t="n"/>
      <c r="G157" s="76" t="n"/>
      <c r="H157" s="76" t="n"/>
      <c r="I157" s="76" t="n"/>
      <c r="J157" s="76" t="n"/>
      <c r="K157" s="76" t="n"/>
      <c r="L157" s="76" t="n"/>
      <c r="M157" s="76" t="n"/>
      <c r="N157" s="76" t="n"/>
      <c r="O157" s="76" t="n"/>
      <c r="P157" s="76" t="n"/>
      <c r="Q157" s="77" t="n"/>
    </row>
    <row r="158">
      <c r="A158" s="74" t="n"/>
      <c r="B158" s="75" t="n"/>
      <c r="C158" s="75" t="n"/>
      <c r="D158" s="76" t="n"/>
      <c r="E158" s="76" t="n"/>
      <c r="F158" s="76" t="n"/>
      <c r="G158" s="76" t="n"/>
      <c r="H158" s="76" t="n"/>
      <c r="I158" s="76" t="n"/>
      <c r="J158" s="76" t="n"/>
      <c r="K158" s="76" t="n"/>
      <c r="L158" s="76" t="n"/>
      <c r="M158" s="76" t="n"/>
      <c r="N158" s="76" t="n"/>
      <c r="O158" s="76" t="n"/>
      <c r="P158" s="76" t="n"/>
      <c r="Q158" s="77" t="n"/>
    </row>
    <row r="159" ht="15" customHeight="1" s="234">
      <c r="A159" s="334" t="n"/>
      <c r="B159" s="335" t="n"/>
      <c r="C159" s="335" t="n"/>
      <c r="D159" s="336" t="n"/>
      <c r="E159" s="336" t="n"/>
      <c r="F159" s="336" t="n"/>
      <c r="G159" s="336" t="n"/>
      <c r="H159" s="336" t="n"/>
      <c r="I159" s="336" t="n"/>
      <c r="J159" s="336" t="n"/>
      <c r="K159" s="336" t="n"/>
      <c r="L159" s="336" t="n"/>
      <c r="M159" s="336" t="n"/>
      <c r="N159" s="336" t="n"/>
      <c r="O159" s="336" t="n"/>
      <c r="P159" s="336" t="n"/>
      <c r="Q159" s="337" t="n"/>
    </row>
    <row r="160">
      <c r="A160" s="74" t="n"/>
      <c r="B160" s="75" t="n"/>
      <c r="C160" s="75" t="n"/>
      <c r="D160" s="76" t="n"/>
      <c r="E160" s="76" t="n"/>
      <c r="F160" s="76" t="n"/>
      <c r="G160" s="76" t="n"/>
      <c r="H160" s="76" t="n"/>
      <c r="I160" s="76" t="n"/>
      <c r="J160" s="76" t="n"/>
      <c r="K160" s="76" t="n"/>
      <c r="L160" s="76" t="n"/>
      <c r="M160" s="76" t="n"/>
      <c r="N160" s="76" t="n"/>
      <c r="O160" s="76" t="n"/>
      <c r="P160" s="76" t="n"/>
      <c r="Q160" s="77" t="n"/>
    </row>
    <row r="161">
      <c r="A161" s="74" t="n"/>
      <c r="B161" s="75" t="n"/>
      <c r="C161" s="75" t="n"/>
      <c r="D161" s="76" t="n"/>
      <c r="E161" s="76" t="n"/>
      <c r="F161" s="76" t="n"/>
      <c r="G161" s="76" t="n"/>
      <c r="H161" s="76" t="n"/>
      <c r="I161" s="76" t="n"/>
      <c r="J161" s="76" t="n"/>
      <c r="K161" s="76" t="n"/>
      <c r="L161" s="76" t="n"/>
      <c r="M161" s="76" t="n"/>
      <c r="N161" s="76" t="n"/>
      <c r="O161" s="76" t="n"/>
      <c r="P161" s="76" t="n"/>
      <c r="Q161" s="77" t="n"/>
    </row>
    <row r="162">
      <c r="A162" s="74" t="n"/>
      <c r="B162" s="75" t="n"/>
      <c r="C162" s="75" t="n"/>
      <c r="D162" s="76" t="n"/>
      <c r="E162" s="76" t="n"/>
      <c r="F162" s="76" t="n"/>
      <c r="G162" s="76" t="n"/>
      <c r="H162" s="76" t="n"/>
      <c r="I162" s="76" t="n"/>
      <c r="J162" s="76" t="n"/>
      <c r="K162" s="76" t="n"/>
      <c r="L162" s="76" t="n"/>
      <c r="M162" s="76" t="n"/>
      <c r="N162" s="76" t="n"/>
      <c r="O162" s="76" t="n"/>
      <c r="P162" s="76" t="n"/>
      <c r="Q162" s="77" t="n"/>
    </row>
    <row r="163">
      <c r="A163" s="74" t="n"/>
      <c r="B163" s="75" t="n"/>
      <c r="C163" s="75" t="n"/>
      <c r="D163" s="76" t="n"/>
      <c r="E163" s="76" t="n"/>
      <c r="F163" s="76" t="n"/>
      <c r="G163" s="76" t="n"/>
      <c r="H163" s="76" t="n"/>
      <c r="I163" s="76" t="n"/>
      <c r="J163" s="76" t="n"/>
      <c r="K163" s="76" t="n"/>
      <c r="L163" s="76" t="n"/>
      <c r="M163" s="76" t="n"/>
      <c r="N163" s="76" t="n"/>
      <c r="O163" s="76" t="n"/>
      <c r="P163" s="76" t="n"/>
      <c r="Q163" s="77" t="n"/>
    </row>
    <row r="164">
      <c r="A164" s="74" t="n"/>
      <c r="B164" s="75" t="n"/>
      <c r="C164" s="75" t="n"/>
      <c r="D164" s="76" t="n"/>
      <c r="E164" s="76" t="n"/>
      <c r="F164" s="76" t="n"/>
      <c r="G164" s="76" t="n"/>
      <c r="H164" s="76" t="n"/>
      <c r="I164" s="76" t="n"/>
      <c r="J164" s="76" t="n"/>
      <c r="K164" s="76" t="n"/>
      <c r="L164" s="76" t="n"/>
      <c r="M164" s="76" t="n"/>
      <c r="N164" s="76" t="n"/>
      <c r="O164" s="76" t="n"/>
      <c r="P164" s="76" t="n"/>
      <c r="Q164" s="77" t="n"/>
    </row>
    <row r="165">
      <c r="A165" s="74" t="n"/>
      <c r="B165" s="75" t="n"/>
      <c r="C165" s="75" t="n"/>
      <c r="D165" s="76" t="n"/>
      <c r="E165" s="76" t="n"/>
      <c r="F165" s="76" t="n"/>
      <c r="G165" s="76" t="n"/>
      <c r="H165" s="76" t="n"/>
      <c r="I165" s="76" t="n"/>
      <c r="J165" s="76" t="n"/>
      <c r="K165" s="76" t="n"/>
      <c r="L165" s="76" t="n"/>
      <c r="M165" s="76" t="n"/>
      <c r="N165" s="76" t="n"/>
      <c r="O165" s="76" t="n"/>
      <c r="P165" s="76" t="n"/>
      <c r="Q165" s="77" t="n"/>
    </row>
    <row r="166">
      <c r="A166" s="74" t="n"/>
      <c r="B166" s="75" t="n"/>
      <c r="C166" s="75" t="n"/>
      <c r="D166" s="76" t="n"/>
      <c r="E166" s="76" t="n"/>
      <c r="F166" s="76" t="n"/>
      <c r="G166" s="76" t="n"/>
      <c r="H166" s="76" t="n"/>
      <c r="I166" s="76" t="n"/>
      <c r="J166" s="76" t="n"/>
      <c r="K166" s="76" t="n"/>
      <c r="L166" s="76" t="n"/>
      <c r="M166" s="76" t="n"/>
      <c r="N166" s="76" t="n"/>
      <c r="O166" s="76" t="n"/>
      <c r="P166" s="76" t="n"/>
      <c r="Q166" s="77" t="n"/>
    </row>
    <row r="167">
      <c r="A167" s="74" t="n"/>
      <c r="B167" s="75" t="n"/>
      <c r="C167" s="75" t="n"/>
      <c r="D167" s="76" t="n"/>
      <c r="E167" s="76" t="n"/>
      <c r="F167" s="76" t="n"/>
      <c r="G167" s="76" t="n"/>
      <c r="H167" s="76" t="n"/>
      <c r="I167" s="76" t="n"/>
      <c r="J167" s="76" t="n"/>
      <c r="K167" s="76" t="n"/>
      <c r="L167" s="76" t="n"/>
      <c r="M167" s="76" t="n"/>
      <c r="N167" s="76" t="n"/>
      <c r="O167" s="76" t="n"/>
      <c r="P167" s="76" t="n"/>
      <c r="Q167" s="77" t="n"/>
    </row>
    <row r="168">
      <c r="A168" s="74" t="n"/>
      <c r="B168" s="75" t="n"/>
      <c r="C168" s="75" t="n"/>
      <c r="D168" s="76" t="n"/>
      <c r="E168" s="76" t="n"/>
      <c r="F168" s="76" t="n"/>
      <c r="G168" s="76" t="n"/>
      <c r="H168" s="76" t="n"/>
      <c r="I168" s="76" t="n"/>
      <c r="J168" s="76" t="n"/>
      <c r="K168" s="76" t="n"/>
      <c r="L168" s="76" t="n"/>
      <c r="M168" s="76" t="n"/>
      <c r="N168" s="76" t="n"/>
      <c r="O168" s="76" t="n"/>
      <c r="P168" s="76" t="n"/>
      <c r="Q168" s="77" t="n"/>
    </row>
    <row r="169">
      <c r="A169" s="74" t="n"/>
      <c r="B169" s="75" t="n"/>
      <c r="C169" s="75" t="n"/>
      <c r="D169" s="76" t="n"/>
      <c r="E169" s="76" t="n"/>
      <c r="F169" s="76" t="n"/>
      <c r="G169" s="76" t="n"/>
      <c r="H169" s="76" t="n"/>
      <c r="I169" s="76" t="n"/>
      <c r="J169" s="76" t="n"/>
      <c r="K169" s="76" t="n"/>
      <c r="L169" s="76" t="n"/>
      <c r="M169" s="76" t="n"/>
      <c r="N169" s="76" t="n"/>
      <c r="O169" s="76" t="n"/>
      <c r="P169" s="76" t="n"/>
      <c r="Q169" s="77" t="n"/>
    </row>
    <row r="170">
      <c r="A170" s="74" t="n"/>
      <c r="B170" s="75" t="n"/>
      <c r="C170" s="75" t="n"/>
      <c r="D170" s="76" t="n"/>
      <c r="E170" s="76" t="n"/>
      <c r="F170" s="76" t="n"/>
      <c r="G170" s="76" t="n"/>
      <c r="H170" s="76" t="n"/>
      <c r="I170" s="76" t="n"/>
      <c r="J170" s="76" t="n"/>
      <c r="K170" s="76" t="n"/>
      <c r="L170" s="76" t="n"/>
      <c r="M170" s="76" t="n"/>
      <c r="N170" s="76" t="n"/>
      <c r="O170" s="76" t="n"/>
      <c r="P170" s="76" t="n"/>
      <c r="Q170" s="77" t="n"/>
    </row>
    <row r="171">
      <c r="A171" s="74" t="n"/>
      <c r="B171" s="75" t="n"/>
      <c r="C171" s="75" t="n"/>
      <c r="D171" s="76" t="n"/>
      <c r="E171" s="76" t="n"/>
      <c r="F171" s="76" t="n"/>
      <c r="G171" s="76" t="n"/>
      <c r="H171" s="76" t="n"/>
      <c r="I171" s="76" t="n"/>
      <c r="J171" s="76" t="n"/>
      <c r="K171" s="76" t="n"/>
      <c r="L171" s="76" t="n"/>
      <c r="M171" s="76" t="n"/>
      <c r="N171" s="76" t="n"/>
      <c r="O171" s="76" t="n"/>
      <c r="P171" s="76" t="n"/>
      <c r="Q171" s="77" t="n"/>
    </row>
    <row r="172">
      <c r="A172" s="74" t="n"/>
      <c r="B172" s="75" t="n"/>
      <c r="C172" s="75" t="n"/>
      <c r="D172" s="76" t="n"/>
      <c r="E172" s="76" t="n"/>
      <c r="F172" s="76" t="n"/>
      <c r="G172" s="76" t="n"/>
      <c r="H172" s="76" t="n"/>
      <c r="I172" s="76" t="n"/>
      <c r="J172" s="76" t="n"/>
      <c r="K172" s="76" t="n"/>
      <c r="L172" s="76" t="n"/>
      <c r="M172" s="76" t="n"/>
      <c r="N172" s="76" t="n"/>
      <c r="O172" s="76" t="n"/>
      <c r="P172" s="76" t="n"/>
      <c r="Q172" s="77" t="n"/>
    </row>
    <row r="173">
      <c r="A173" s="74" t="n"/>
      <c r="B173" s="75" t="n"/>
      <c r="C173" s="75" t="n"/>
      <c r="D173" s="76" t="n"/>
      <c r="E173" s="76" t="n"/>
      <c r="F173" s="76" t="n"/>
      <c r="G173" s="76" t="n"/>
      <c r="H173" s="76" t="n"/>
      <c r="I173" s="76" t="n"/>
      <c r="J173" s="76" t="n"/>
      <c r="K173" s="76" t="n"/>
      <c r="L173" s="76" t="n"/>
      <c r="M173" s="76" t="n"/>
      <c r="N173" s="76" t="n"/>
      <c r="O173" s="76" t="n"/>
      <c r="P173" s="76" t="n"/>
      <c r="Q173" s="77" t="n"/>
    </row>
    <row r="174">
      <c r="A174" s="74" t="n"/>
      <c r="B174" s="75" t="n"/>
      <c r="C174" s="75" t="n"/>
      <c r="D174" s="76" t="n"/>
      <c r="E174" s="76" t="n"/>
      <c r="F174" s="76" t="n"/>
      <c r="G174" s="76" t="n"/>
      <c r="H174" s="76" t="n"/>
      <c r="I174" s="76" t="n"/>
      <c r="J174" s="76" t="n"/>
      <c r="K174" s="76" t="n"/>
      <c r="L174" s="76" t="n"/>
      <c r="M174" s="76" t="n"/>
      <c r="N174" s="76" t="n"/>
      <c r="O174" s="76" t="n"/>
      <c r="P174" s="76" t="n"/>
      <c r="Q174" s="77" t="n"/>
    </row>
    <row r="175">
      <c r="A175" s="74" t="n"/>
      <c r="B175" s="75" t="n"/>
      <c r="C175" s="75" t="n"/>
      <c r="D175" s="76" t="n"/>
      <c r="E175" s="76" t="n"/>
      <c r="F175" s="76" t="n"/>
      <c r="G175" s="76" t="n"/>
      <c r="H175" s="76" t="n"/>
      <c r="I175" s="76" t="n"/>
      <c r="J175" s="76" t="n"/>
      <c r="K175" s="76" t="n"/>
      <c r="L175" s="76" t="n"/>
      <c r="M175" s="76" t="n"/>
      <c r="N175" s="76" t="n"/>
      <c r="O175" s="76" t="n"/>
      <c r="P175" s="76" t="n"/>
      <c r="Q175" s="77" t="n"/>
    </row>
    <row r="176">
      <c r="A176" s="74" t="n"/>
      <c r="B176" s="75" t="n"/>
      <c r="C176" s="75" t="n"/>
      <c r="D176" s="76" t="n"/>
      <c r="E176" s="76" t="n"/>
      <c r="F176" s="76" t="n"/>
      <c r="G176" s="76" t="n"/>
      <c r="H176" s="76" t="n"/>
      <c r="I176" s="76" t="n"/>
      <c r="J176" s="76" t="n"/>
      <c r="K176" s="76" t="n"/>
      <c r="L176" s="76" t="n"/>
      <c r="M176" s="76" t="n"/>
      <c r="N176" s="76" t="n"/>
      <c r="O176" s="76" t="n"/>
      <c r="P176" s="76" t="n"/>
      <c r="Q176" s="77" t="n"/>
    </row>
    <row r="177">
      <c r="A177" s="74" t="n"/>
      <c r="B177" s="75" t="n"/>
      <c r="C177" s="75" t="n"/>
      <c r="D177" s="76" t="n"/>
      <c r="E177" s="76" t="n"/>
      <c r="F177" s="76" t="n"/>
      <c r="G177" s="76" t="n"/>
      <c r="H177" s="76" t="n"/>
      <c r="I177" s="76" t="n"/>
      <c r="J177" s="76" t="n"/>
      <c r="K177" s="76" t="n"/>
      <c r="L177" s="76" t="n"/>
      <c r="M177" s="76" t="n"/>
      <c r="N177" s="76" t="n"/>
      <c r="O177" s="76" t="n"/>
      <c r="P177" s="76" t="n"/>
      <c r="Q177" s="77" t="n"/>
    </row>
    <row r="178">
      <c r="A178" s="74" t="n"/>
      <c r="B178" s="75" t="n"/>
      <c r="C178" s="75" t="n"/>
      <c r="D178" s="76" t="n"/>
      <c r="E178" s="76" t="n"/>
      <c r="F178" s="76" t="n"/>
      <c r="G178" s="76" t="n"/>
      <c r="H178" s="76" t="n"/>
      <c r="I178" s="76" t="n"/>
      <c r="J178" s="76" t="n"/>
      <c r="K178" s="76" t="n"/>
      <c r="L178" s="76" t="n"/>
      <c r="M178" s="76" t="n"/>
      <c r="N178" s="76" t="n"/>
      <c r="O178" s="76" t="n"/>
      <c r="P178" s="76" t="n"/>
      <c r="Q178" s="77" t="n"/>
    </row>
    <row r="179" ht="15" customHeight="1" s="234">
      <c r="A179" s="334" t="n"/>
      <c r="B179" s="335" t="n"/>
      <c r="C179" s="335" t="n"/>
      <c r="D179" s="336" t="n"/>
      <c r="E179" s="336" t="n"/>
      <c r="F179" s="336" t="n"/>
      <c r="G179" s="336" t="n"/>
      <c r="H179" s="336" t="n"/>
      <c r="I179" s="336" t="n"/>
      <c r="J179" s="336" t="n"/>
      <c r="K179" s="336" t="n"/>
      <c r="L179" s="336" t="n"/>
      <c r="M179" s="336" t="n"/>
      <c r="N179" s="336" t="n"/>
      <c r="O179" s="336" t="n"/>
      <c r="P179" s="336" t="n"/>
      <c r="Q179" s="337" t="n"/>
    </row>
    <row r="180">
      <c r="A180" s="74" t="n"/>
      <c r="B180" s="75" t="n"/>
      <c r="C180" s="75" t="n"/>
      <c r="D180" s="76" t="n"/>
      <c r="E180" s="76" t="n"/>
      <c r="F180" s="76" t="n"/>
      <c r="G180" s="76" t="n"/>
      <c r="H180" s="76" t="n"/>
      <c r="I180" s="76" t="n"/>
      <c r="J180" s="76" t="n"/>
      <c r="K180" s="76" t="n"/>
      <c r="L180" s="76" t="n"/>
      <c r="M180" s="76" t="n"/>
      <c r="N180" s="76" t="n"/>
      <c r="O180" s="76" t="n"/>
      <c r="P180" s="76" t="n"/>
      <c r="Q180" s="77" t="n"/>
    </row>
    <row r="181">
      <c r="A181" s="74" t="n"/>
      <c r="B181" s="75" t="n"/>
      <c r="C181" s="75" t="n"/>
      <c r="D181" s="76" t="n"/>
      <c r="E181" s="76" t="n"/>
      <c r="F181" s="76" t="n"/>
      <c r="G181" s="76" t="n"/>
      <c r="H181" s="76" t="n"/>
      <c r="I181" s="76" t="n"/>
      <c r="J181" s="76" t="n"/>
      <c r="K181" s="76" t="n"/>
      <c r="L181" s="76" t="n"/>
      <c r="M181" s="76" t="n"/>
      <c r="N181" s="76" t="n"/>
      <c r="O181" s="76" t="n"/>
      <c r="P181" s="76" t="n"/>
      <c r="Q181" s="77" t="n"/>
    </row>
    <row r="182">
      <c r="A182" s="74" t="n"/>
      <c r="B182" s="75" t="n"/>
      <c r="C182" s="75" t="n"/>
      <c r="D182" s="76" t="n"/>
      <c r="E182" s="76" t="n"/>
      <c r="F182" s="76" t="n"/>
      <c r="G182" s="76" t="n"/>
      <c r="H182" s="76" t="n"/>
      <c r="I182" s="76" t="n"/>
      <c r="J182" s="76" t="n"/>
      <c r="K182" s="76" t="n"/>
      <c r="L182" s="76" t="n"/>
      <c r="M182" s="76" t="n"/>
      <c r="N182" s="76" t="n"/>
      <c r="O182" s="76" t="n"/>
      <c r="P182" s="76" t="n"/>
      <c r="Q182" s="77" t="n"/>
    </row>
    <row r="183">
      <c r="A183" s="74" t="n"/>
      <c r="B183" s="75" t="n"/>
      <c r="C183" s="75" t="n"/>
      <c r="D183" s="76" t="n"/>
      <c r="E183" s="76" t="n"/>
      <c r="F183" s="76" t="n"/>
      <c r="G183" s="76" t="n"/>
      <c r="H183" s="76" t="n"/>
      <c r="I183" s="76" t="n"/>
      <c r="J183" s="76" t="n"/>
      <c r="K183" s="76" t="n"/>
      <c r="L183" s="76" t="n"/>
      <c r="M183" s="76" t="n"/>
      <c r="N183" s="76" t="n"/>
      <c r="O183" s="76" t="n"/>
      <c r="P183" s="76" t="n"/>
      <c r="Q183" s="77" t="n"/>
    </row>
    <row r="184">
      <c r="A184" s="74" t="n"/>
      <c r="B184" s="75" t="n"/>
      <c r="C184" s="75" t="n"/>
      <c r="D184" s="76" t="n"/>
      <c r="E184" s="76" t="n"/>
      <c r="F184" s="76" t="n"/>
      <c r="G184" s="76" t="n"/>
      <c r="H184" s="76" t="n"/>
      <c r="I184" s="76" t="n"/>
      <c r="J184" s="76" t="n"/>
      <c r="K184" s="76" t="n"/>
      <c r="L184" s="76" t="n"/>
      <c r="M184" s="76" t="n"/>
      <c r="N184" s="76" t="n"/>
      <c r="O184" s="76" t="n"/>
      <c r="P184" s="76" t="n"/>
      <c r="Q184" s="77" t="n"/>
    </row>
    <row r="185">
      <c r="A185" s="74" t="n"/>
      <c r="B185" s="75" t="n"/>
      <c r="C185" s="75" t="n"/>
      <c r="D185" s="76" t="n"/>
      <c r="E185" s="76" t="n"/>
      <c r="F185" s="76" t="n"/>
      <c r="G185" s="76" t="n"/>
      <c r="H185" s="76" t="n"/>
      <c r="I185" s="76" t="n"/>
      <c r="J185" s="76" t="n"/>
      <c r="K185" s="76" t="n"/>
      <c r="L185" s="76" t="n"/>
      <c r="M185" s="76" t="n"/>
      <c r="N185" s="76" t="n"/>
      <c r="O185" s="76" t="n"/>
      <c r="P185" s="76" t="n"/>
      <c r="Q185" s="77" t="n"/>
    </row>
    <row r="186">
      <c r="A186" s="74" t="n"/>
      <c r="B186" s="75" t="n"/>
      <c r="C186" s="75" t="n"/>
      <c r="D186" s="76" t="n"/>
      <c r="E186" s="76" t="n"/>
      <c r="F186" s="76" t="n"/>
      <c r="G186" s="76" t="n"/>
      <c r="H186" s="76" t="n"/>
      <c r="I186" s="76" t="n"/>
      <c r="J186" s="76" t="n"/>
      <c r="K186" s="76" t="n"/>
      <c r="L186" s="76" t="n"/>
      <c r="M186" s="76" t="n"/>
      <c r="N186" s="76" t="n"/>
      <c r="O186" s="76" t="n"/>
      <c r="P186" s="76" t="n"/>
      <c r="Q186" s="77" t="n"/>
    </row>
    <row r="187">
      <c r="A187" s="74" t="n"/>
      <c r="B187" s="75" t="n"/>
      <c r="C187" s="75" t="n"/>
      <c r="D187" s="76" t="n"/>
      <c r="E187" s="76" t="n"/>
      <c r="F187" s="76" t="n"/>
      <c r="G187" s="76" t="n"/>
      <c r="H187" s="76" t="n"/>
      <c r="I187" s="76" t="n"/>
      <c r="J187" s="76" t="n"/>
      <c r="K187" s="76" t="n"/>
      <c r="L187" s="76" t="n"/>
      <c r="M187" s="76" t="n"/>
      <c r="N187" s="76" t="n"/>
      <c r="O187" s="76" t="n"/>
      <c r="P187" s="76" t="n"/>
      <c r="Q187" s="77" t="n"/>
    </row>
    <row r="188">
      <c r="A188" s="74" t="n"/>
      <c r="B188" s="75" t="n"/>
      <c r="C188" s="75" t="n"/>
      <c r="D188" s="76" t="n"/>
      <c r="E188" s="76" t="n"/>
      <c r="F188" s="76" t="n"/>
      <c r="G188" s="76" t="n"/>
      <c r="H188" s="76" t="n"/>
      <c r="I188" s="76" t="n"/>
      <c r="J188" s="76" t="n"/>
      <c r="K188" s="76" t="n"/>
      <c r="L188" s="76" t="n"/>
      <c r="M188" s="76" t="n"/>
      <c r="N188" s="76" t="n"/>
      <c r="O188" s="76" t="n"/>
      <c r="P188" s="76" t="n"/>
      <c r="Q188" s="77" t="n"/>
    </row>
    <row r="189">
      <c r="A189" s="74" t="n"/>
      <c r="B189" s="75" t="n"/>
      <c r="C189" s="75" t="n"/>
      <c r="D189" s="76" t="n"/>
      <c r="E189" s="76" t="n"/>
      <c r="F189" s="76" t="n"/>
      <c r="G189" s="76" t="n"/>
      <c r="H189" s="76" t="n"/>
      <c r="I189" s="76" t="n"/>
      <c r="J189" s="76" t="n"/>
      <c r="K189" s="76" t="n"/>
      <c r="L189" s="76" t="n"/>
      <c r="M189" s="76" t="n"/>
      <c r="N189" s="76" t="n"/>
      <c r="O189" s="76" t="n"/>
      <c r="P189" s="76" t="n"/>
      <c r="Q189" s="77" t="n"/>
    </row>
    <row r="190">
      <c r="A190" s="74" t="n"/>
      <c r="B190" s="75" t="n"/>
      <c r="C190" s="75" t="n"/>
      <c r="D190" s="76" t="n"/>
      <c r="E190" s="76" t="n"/>
      <c r="F190" s="76" t="n"/>
      <c r="G190" s="76" t="n"/>
      <c r="H190" s="76" t="n"/>
      <c r="I190" s="76" t="n"/>
      <c r="J190" s="76" t="n"/>
      <c r="K190" s="76" t="n"/>
      <c r="L190" s="76" t="n"/>
      <c r="M190" s="76" t="n"/>
      <c r="N190" s="76" t="n"/>
      <c r="O190" s="76" t="n"/>
      <c r="P190" s="76" t="n"/>
      <c r="Q190" s="77" t="n"/>
    </row>
    <row r="191">
      <c r="A191" s="74" t="n"/>
      <c r="B191" s="75" t="n"/>
      <c r="C191" s="75" t="n"/>
      <c r="D191" s="76" t="n"/>
      <c r="E191" s="76" t="n"/>
      <c r="F191" s="76" t="n"/>
      <c r="G191" s="76" t="n"/>
      <c r="H191" s="76" t="n"/>
      <c r="I191" s="76" t="n"/>
      <c r="J191" s="76" t="n"/>
      <c r="K191" s="76" t="n"/>
      <c r="L191" s="76" t="n"/>
      <c r="M191" s="76" t="n"/>
      <c r="N191" s="76" t="n"/>
      <c r="O191" s="76" t="n"/>
      <c r="P191" s="76" t="n"/>
      <c r="Q191" s="77" t="n"/>
    </row>
    <row r="192">
      <c r="A192" s="74" t="n"/>
      <c r="B192" s="75" t="n"/>
      <c r="C192" s="75" t="n"/>
      <c r="D192" s="76" t="n"/>
      <c r="E192" s="76" t="n"/>
      <c r="F192" s="76" t="n"/>
      <c r="G192" s="76" t="n"/>
      <c r="H192" s="76" t="n"/>
      <c r="I192" s="76" t="n"/>
      <c r="J192" s="76" t="n"/>
      <c r="K192" s="76" t="n"/>
      <c r="L192" s="76" t="n"/>
      <c r="M192" s="76" t="n"/>
      <c r="N192" s="76" t="n"/>
      <c r="O192" s="76" t="n"/>
      <c r="P192" s="76" t="n"/>
      <c r="Q192" s="77" t="n"/>
    </row>
    <row r="193">
      <c r="A193" s="74" t="n"/>
      <c r="B193" s="75" t="n"/>
      <c r="C193" s="75" t="n"/>
      <c r="D193" s="76" t="n"/>
      <c r="E193" s="76" t="n"/>
      <c r="F193" s="76" t="n"/>
      <c r="G193" s="76" t="n"/>
      <c r="H193" s="76" t="n"/>
      <c r="I193" s="76" t="n"/>
      <c r="J193" s="76" t="n"/>
      <c r="K193" s="76" t="n"/>
      <c r="L193" s="76" t="n"/>
      <c r="M193" s="76" t="n"/>
      <c r="N193" s="76" t="n"/>
      <c r="O193" s="76" t="n"/>
      <c r="P193" s="76" t="n"/>
      <c r="Q193" s="77" t="n"/>
    </row>
    <row r="194">
      <c r="A194" s="74" t="n"/>
      <c r="B194" s="75" t="n"/>
      <c r="C194" s="75" t="n"/>
      <c r="D194" s="76" t="n"/>
      <c r="E194" s="76" t="n"/>
      <c r="F194" s="76" t="n"/>
      <c r="G194" s="76" t="n"/>
      <c r="H194" s="76" t="n"/>
      <c r="I194" s="76" t="n"/>
      <c r="J194" s="76" t="n"/>
      <c r="K194" s="76" t="n"/>
      <c r="L194" s="76" t="n"/>
      <c r="M194" s="76" t="n"/>
      <c r="N194" s="76" t="n"/>
      <c r="O194" s="76" t="n"/>
      <c r="P194" s="76" t="n"/>
      <c r="Q194" s="77" t="n"/>
    </row>
    <row r="195">
      <c r="A195" s="74" t="n"/>
      <c r="B195" s="75" t="n"/>
      <c r="C195" s="75" t="n"/>
      <c r="D195" s="76" t="n"/>
      <c r="E195" s="76" t="n"/>
      <c r="F195" s="76" t="n"/>
      <c r="G195" s="76" t="n"/>
      <c r="H195" s="76" t="n"/>
      <c r="I195" s="76" t="n"/>
      <c r="J195" s="76" t="n"/>
      <c r="K195" s="76" t="n"/>
      <c r="L195" s="76" t="n"/>
      <c r="M195" s="76" t="n"/>
      <c r="N195" s="76" t="n"/>
      <c r="O195" s="76" t="n"/>
      <c r="P195" s="76" t="n"/>
      <c r="Q195" s="77" t="n"/>
    </row>
    <row r="196">
      <c r="A196" s="74" t="n"/>
      <c r="B196" s="75" t="n"/>
      <c r="C196" s="75" t="n"/>
      <c r="D196" s="76" t="n"/>
      <c r="E196" s="76" t="n"/>
      <c r="F196" s="76" t="n"/>
      <c r="G196" s="76" t="n"/>
      <c r="H196" s="76" t="n"/>
      <c r="I196" s="76" t="n"/>
      <c r="J196" s="76" t="n"/>
      <c r="K196" s="76" t="n"/>
      <c r="L196" s="76" t="n"/>
      <c r="M196" s="76" t="n"/>
      <c r="N196" s="76" t="n"/>
      <c r="O196" s="76" t="n"/>
      <c r="P196" s="76" t="n"/>
      <c r="Q196" s="77" t="n"/>
    </row>
    <row r="197">
      <c r="A197" s="74" t="n"/>
      <c r="B197" s="75" t="n"/>
      <c r="C197" s="75" t="n"/>
      <c r="D197" s="76" t="n"/>
      <c r="E197" s="76" t="n"/>
      <c r="F197" s="76" t="n"/>
      <c r="G197" s="76" t="n"/>
      <c r="H197" s="76" t="n"/>
      <c r="I197" s="76" t="n"/>
      <c r="J197" s="76" t="n"/>
      <c r="K197" s="76" t="n"/>
      <c r="L197" s="76" t="n"/>
      <c r="M197" s="76" t="n"/>
      <c r="N197" s="76" t="n"/>
      <c r="O197" s="76" t="n"/>
      <c r="P197" s="76" t="n"/>
      <c r="Q197" s="77" t="n"/>
    </row>
    <row r="198">
      <c r="A198" s="74" t="n"/>
      <c r="B198" s="75" t="n"/>
      <c r="C198" s="75" t="n"/>
      <c r="D198" s="76" t="n"/>
      <c r="E198" s="76" t="n"/>
      <c r="F198" s="76" t="n"/>
      <c r="G198" s="76" t="n"/>
      <c r="H198" s="76" t="n"/>
      <c r="I198" s="76" t="n"/>
      <c r="J198" s="76" t="n"/>
      <c r="K198" s="76" t="n"/>
      <c r="L198" s="76" t="n"/>
      <c r="M198" s="76" t="n"/>
      <c r="N198" s="76" t="n"/>
      <c r="O198" s="76" t="n"/>
      <c r="P198" s="76" t="n"/>
      <c r="Q198" s="77" t="n"/>
    </row>
    <row r="199">
      <c r="A199" s="74" t="n"/>
      <c r="B199" s="75" t="n"/>
      <c r="C199" s="75" t="n"/>
      <c r="D199" s="76" t="n"/>
      <c r="E199" s="76" t="n"/>
      <c r="F199" s="76" t="n"/>
      <c r="G199" s="76" t="n"/>
      <c r="H199" s="76" t="n"/>
      <c r="I199" s="76" t="n"/>
      <c r="J199" s="76" t="n"/>
      <c r="K199" s="76" t="n"/>
      <c r="L199" s="76" t="n"/>
      <c r="M199" s="76" t="n"/>
      <c r="N199" s="76" t="n"/>
      <c r="O199" s="76" t="n"/>
      <c r="P199" s="76" t="n"/>
      <c r="Q199" s="77" t="n"/>
    </row>
    <row r="200">
      <c r="A200" s="74" t="n"/>
      <c r="B200" s="75" t="n"/>
      <c r="C200" s="75" t="n"/>
      <c r="D200" s="76" t="n"/>
      <c r="E200" s="76" t="n"/>
      <c r="F200" s="76" t="n"/>
      <c r="G200" s="76" t="n"/>
      <c r="H200" s="76" t="n"/>
      <c r="I200" s="76" t="n"/>
      <c r="J200" s="76" t="n"/>
      <c r="K200" s="76" t="n"/>
      <c r="L200" s="76" t="n"/>
      <c r="M200" s="76" t="n"/>
      <c r="N200" s="76" t="n"/>
      <c r="O200" s="76" t="n"/>
      <c r="P200" s="76" t="n"/>
      <c r="Q200" s="77" t="n"/>
    </row>
    <row r="201">
      <c r="A201" s="74" t="n"/>
      <c r="B201" s="75" t="n"/>
      <c r="C201" s="75" t="n"/>
      <c r="D201" s="76" t="n"/>
      <c r="E201" s="76" t="n"/>
      <c r="F201" s="76" t="n"/>
      <c r="G201" s="76" t="n"/>
      <c r="H201" s="76" t="n"/>
      <c r="I201" s="76" t="n"/>
      <c r="J201" s="76" t="n"/>
      <c r="K201" s="76" t="n"/>
      <c r="L201" s="76" t="n"/>
      <c r="M201" s="76" t="n"/>
      <c r="N201" s="76" t="n"/>
      <c r="O201" s="76" t="n"/>
      <c r="P201" s="76" t="n"/>
      <c r="Q201" s="77" t="n"/>
    </row>
    <row r="202">
      <c r="A202" s="74" t="n"/>
      <c r="B202" s="75" t="n"/>
      <c r="C202" s="75" t="n"/>
      <c r="D202" s="76" t="n"/>
      <c r="E202" s="76" t="n"/>
      <c r="F202" s="76" t="n"/>
      <c r="G202" s="76" t="n"/>
      <c r="H202" s="76" t="n"/>
      <c r="I202" s="76" t="n"/>
      <c r="J202" s="76" t="n"/>
      <c r="K202" s="76" t="n"/>
      <c r="L202" s="76" t="n"/>
      <c r="M202" s="76" t="n"/>
      <c r="N202" s="76" t="n"/>
      <c r="O202" s="76" t="n"/>
      <c r="P202" s="76" t="n"/>
      <c r="Q202" s="77" t="n"/>
    </row>
    <row r="203">
      <c r="A203" s="74" t="n"/>
      <c r="B203" s="75" t="n"/>
      <c r="C203" s="75" t="n"/>
      <c r="D203" s="76" t="n"/>
      <c r="E203" s="76" t="n"/>
      <c r="F203" s="76" t="n"/>
      <c r="G203" s="76" t="n"/>
      <c r="H203" s="76" t="n"/>
      <c r="I203" s="76" t="n"/>
      <c r="J203" s="76" t="n"/>
      <c r="K203" s="76" t="n"/>
      <c r="L203" s="76" t="n"/>
      <c r="M203" s="76" t="n"/>
      <c r="N203" s="76" t="n"/>
      <c r="O203" s="76" t="n"/>
      <c r="P203" s="76" t="n"/>
      <c r="Q203" s="77" t="n"/>
    </row>
    <row r="204">
      <c r="A204" s="74" t="n"/>
      <c r="B204" s="75" t="n"/>
      <c r="C204" s="75" t="n"/>
      <c r="D204" s="76" t="n"/>
      <c r="E204" s="76" t="n"/>
      <c r="F204" s="76" t="n"/>
      <c r="G204" s="76" t="n"/>
      <c r="H204" s="76" t="n"/>
      <c r="I204" s="76" t="n"/>
      <c r="J204" s="76" t="n"/>
      <c r="K204" s="76" t="n"/>
      <c r="L204" s="76" t="n"/>
      <c r="M204" s="76" t="n"/>
      <c r="N204" s="76" t="n"/>
      <c r="O204" s="76" t="n"/>
      <c r="P204" s="76" t="n"/>
      <c r="Q204" s="77" t="n"/>
    </row>
    <row r="205">
      <c r="A205" s="74" t="n"/>
      <c r="B205" s="75" t="n"/>
      <c r="C205" s="75" t="n"/>
      <c r="D205" s="76" t="n"/>
      <c r="E205" s="76" t="n"/>
      <c r="F205" s="76" t="n"/>
      <c r="G205" s="76" t="n"/>
      <c r="H205" s="76" t="n"/>
      <c r="I205" s="76" t="n"/>
      <c r="J205" s="76" t="n"/>
      <c r="K205" s="76" t="n"/>
      <c r="L205" s="76" t="n"/>
      <c r="M205" s="76" t="n"/>
      <c r="N205" s="76" t="n"/>
      <c r="O205" s="76" t="n"/>
      <c r="P205" s="76" t="n"/>
      <c r="Q205" s="77" t="n"/>
    </row>
    <row r="206">
      <c r="A206" s="74" t="n"/>
      <c r="B206" s="75" t="n"/>
      <c r="C206" s="75" t="n"/>
      <c r="D206" s="76" t="n"/>
      <c r="E206" s="76" t="n"/>
      <c r="F206" s="76" t="n"/>
      <c r="G206" s="76" t="n"/>
      <c r="H206" s="76" t="n"/>
      <c r="I206" s="76" t="n"/>
      <c r="J206" s="76" t="n"/>
      <c r="K206" s="76" t="n"/>
      <c r="L206" s="76" t="n"/>
      <c r="M206" s="76" t="n"/>
      <c r="N206" s="76" t="n"/>
      <c r="O206" s="76" t="n"/>
      <c r="P206" s="76" t="n"/>
      <c r="Q206" s="77" t="n"/>
    </row>
    <row r="207">
      <c r="A207" s="74" t="n"/>
      <c r="B207" s="75" t="n"/>
      <c r="C207" s="75" t="n"/>
      <c r="D207" s="76" t="n"/>
      <c r="E207" s="76" t="n"/>
      <c r="F207" s="76" t="n"/>
      <c r="G207" s="76" t="n"/>
      <c r="H207" s="76" t="n"/>
      <c r="I207" s="76" t="n"/>
      <c r="J207" s="76" t="n"/>
      <c r="K207" s="76" t="n"/>
      <c r="L207" s="76" t="n"/>
      <c r="M207" s="76" t="n"/>
      <c r="N207" s="76" t="n"/>
      <c r="O207" s="76" t="n"/>
      <c r="P207" s="76" t="n"/>
      <c r="Q207" s="77" t="n"/>
    </row>
    <row r="208">
      <c r="A208" s="74" t="n"/>
      <c r="B208" s="75" t="n"/>
      <c r="C208" s="75" t="n"/>
      <c r="D208" s="76" t="n"/>
      <c r="E208" s="76" t="n"/>
      <c r="F208" s="76" t="n"/>
      <c r="G208" s="76" t="n"/>
      <c r="H208" s="76" t="n"/>
      <c r="I208" s="76" t="n"/>
      <c r="J208" s="76" t="n"/>
      <c r="K208" s="76" t="n"/>
      <c r="L208" s="76" t="n"/>
      <c r="M208" s="76" t="n"/>
      <c r="N208" s="76" t="n"/>
      <c r="O208" s="76" t="n"/>
      <c r="P208" s="76" t="n"/>
      <c r="Q208" s="77" t="n"/>
    </row>
    <row r="209" ht="15" customHeight="1" s="234">
      <c r="A209" s="334" t="n"/>
      <c r="B209" s="335" t="n"/>
      <c r="C209" s="335" t="n"/>
      <c r="D209" s="336" t="n"/>
      <c r="E209" s="336" t="n"/>
      <c r="F209" s="336" t="n"/>
      <c r="G209" s="336" t="n"/>
      <c r="H209" s="336" t="n"/>
      <c r="I209" s="336" t="n"/>
      <c r="J209" s="336" t="n"/>
      <c r="K209" s="336" t="n"/>
      <c r="L209" s="336" t="n"/>
      <c r="M209" s="336" t="n"/>
      <c r="N209" s="336" t="n"/>
      <c r="O209" s="336" t="n"/>
      <c r="P209" s="336" t="n"/>
      <c r="Q209" s="337" t="n"/>
    </row>
    <row r="210" ht="15" customHeight="1" s="234">
      <c r="A210" s="334" t="n"/>
      <c r="B210" s="335" t="n"/>
      <c r="C210" s="335" t="n"/>
      <c r="D210" s="336" t="n"/>
      <c r="E210" s="336" t="n"/>
      <c r="F210" s="336" t="n"/>
      <c r="G210" s="336" t="n"/>
      <c r="H210" s="336" t="n"/>
      <c r="I210" s="336" t="n"/>
      <c r="J210" s="336" t="n"/>
      <c r="K210" s="336" t="n"/>
      <c r="L210" s="336" t="n"/>
      <c r="M210" s="336" t="n"/>
      <c r="N210" s="336" t="n"/>
      <c r="O210" s="336" t="n"/>
      <c r="P210" s="336" t="n"/>
      <c r="Q210" s="337" t="n"/>
    </row>
    <row r="211">
      <c r="A211" s="74" t="n"/>
      <c r="B211" s="75" t="n"/>
      <c r="C211" s="75" t="n"/>
      <c r="D211" s="76" t="n"/>
      <c r="E211" s="76" t="n"/>
      <c r="F211" s="76" t="n"/>
      <c r="G211" s="76" t="n"/>
      <c r="H211" s="76" t="n"/>
      <c r="I211" s="76" t="n"/>
      <c r="J211" s="76" t="n"/>
      <c r="K211" s="76" t="n"/>
      <c r="L211" s="76" t="n"/>
      <c r="M211" s="76" t="n"/>
      <c r="N211" s="76" t="n"/>
      <c r="O211" s="76" t="n"/>
      <c r="P211" s="76" t="n"/>
      <c r="Q211" s="77" t="n"/>
    </row>
    <row r="212">
      <c r="A212" s="74" t="n"/>
      <c r="B212" s="75" t="n"/>
      <c r="C212" s="75" t="n"/>
      <c r="D212" s="76" t="n"/>
      <c r="E212" s="76" t="n"/>
      <c r="F212" s="76" t="n"/>
      <c r="G212" s="76" t="n"/>
      <c r="H212" s="76" t="n"/>
      <c r="I212" s="76" t="n"/>
      <c r="J212" s="76" t="n"/>
      <c r="K212" s="76" t="n"/>
      <c r="L212" s="76" t="n"/>
      <c r="M212" s="76" t="n"/>
      <c r="N212" s="76" t="n"/>
      <c r="O212" s="76" t="n"/>
      <c r="P212" s="76" t="n"/>
      <c r="Q212" s="77" t="n"/>
    </row>
    <row r="213">
      <c r="A213" s="74" t="n"/>
      <c r="B213" s="75" t="n"/>
      <c r="C213" s="75" t="n"/>
      <c r="D213" s="76" t="n"/>
      <c r="E213" s="76" t="n"/>
      <c r="F213" s="76" t="n"/>
      <c r="G213" s="76" t="n"/>
      <c r="H213" s="76" t="n"/>
      <c r="I213" s="76" t="n"/>
      <c r="J213" s="76" t="n"/>
      <c r="K213" s="76" t="n"/>
      <c r="L213" s="76" t="n"/>
      <c r="M213" s="76" t="n"/>
      <c r="N213" s="76" t="n"/>
      <c r="O213" s="76" t="n"/>
      <c r="P213" s="76" t="n"/>
      <c r="Q213" s="77" t="n"/>
    </row>
    <row r="214">
      <c r="A214" s="74" t="n"/>
      <c r="B214" s="75" t="n"/>
      <c r="C214" s="75" t="n"/>
      <c r="D214" s="76" t="n"/>
      <c r="E214" s="76" t="n"/>
      <c r="F214" s="76" t="n"/>
      <c r="G214" s="76" t="n"/>
      <c r="H214" s="76" t="n"/>
      <c r="I214" s="76" t="n"/>
      <c r="J214" s="76" t="n"/>
      <c r="K214" s="76" t="n"/>
      <c r="L214" s="76" t="n"/>
      <c r="M214" s="76" t="n"/>
      <c r="N214" s="76" t="n"/>
      <c r="O214" s="76" t="n"/>
      <c r="P214" s="76" t="n"/>
      <c r="Q214" s="77" t="n"/>
    </row>
    <row r="215">
      <c r="A215" s="74" t="n"/>
      <c r="B215" s="75" t="n"/>
      <c r="C215" s="75" t="n"/>
      <c r="D215" s="76" t="n"/>
      <c r="E215" s="76" t="n"/>
      <c r="F215" s="76" t="n"/>
      <c r="G215" s="76" t="n"/>
      <c r="H215" s="76" t="n"/>
      <c r="I215" s="76" t="n"/>
      <c r="J215" s="76" t="n"/>
      <c r="K215" s="76" t="n"/>
      <c r="L215" s="76" t="n"/>
      <c r="M215" s="76" t="n"/>
      <c r="N215" s="76" t="n"/>
      <c r="O215" s="76" t="n"/>
      <c r="P215" s="76" t="n"/>
      <c r="Q215" s="77" t="n"/>
    </row>
    <row r="216">
      <c r="A216" s="74" t="n"/>
      <c r="B216" s="75" t="n"/>
      <c r="C216" s="75" t="n"/>
      <c r="D216" s="76" t="n"/>
      <c r="E216" s="76" t="n"/>
      <c r="F216" s="76" t="n"/>
      <c r="G216" s="76" t="n"/>
      <c r="H216" s="76" t="n"/>
      <c r="I216" s="76" t="n"/>
      <c r="J216" s="76" t="n"/>
      <c r="K216" s="76" t="n"/>
      <c r="L216" s="76" t="n"/>
      <c r="M216" s="76" t="n"/>
      <c r="N216" s="76" t="n"/>
      <c r="O216" s="76" t="n"/>
      <c r="P216" s="76" t="n"/>
      <c r="Q216" s="77" t="n"/>
    </row>
    <row r="217">
      <c r="A217" s="74" t="n"/>
      <c r="B217" s="75" t="n"/>
      <c r="C217" s="75" t="n"/>
      <c r="D217" s="76" t="n"/>
      <c r="E217" s="76" t="n"/>
      <c r="F217" s="76" t="n"/>
      <c r="G217" s="76" t="n"/>
      <c r="H217" s="76" t="n"/>
      <c r="I217" s="76" t="n"/>
      <c r="J217" s="76" t="n"/>
      <c r="K217" s="76" t="n"/>
      <c r="L217" s="76" t="n"/>
      <c r="M217" s="76" t="n"/>
      <c r="N217" s="76" t="n"/>
      <c r="O217" s="76" t="n"/>
      <c r="P217" s="76" t="n"/>
      <c r="Q217" s="77" t="n"/>
    </row>
    <row r="218">
      <c r="A218" s="74" t="n"/>
      <c r="B218" s="75" t="n"/>
      <c r="C218" s="75" t="n"/>
      <c r="D218" s="76" t="n"/>
      <c r="E218" s="76" t="n"/>
      <c r="F218" s="76" t="n"/>
      <c r="G218" s="76" t="n"/>
      <c r="H218" s="76" t="n"/>
      <c r="I218" s="76" t="n"/>
      <c r="J218" s="76" t="n"/>
      <c r="K218" s="76" t="n"/>
      <c r="L218" s="76" t="n"/>
      <c r="M218" s="76" t="n"/>
      <c r="N218" s="76" t="n"/>
      <c r="O218" s="76" t="n"/>
      <c r="P218" s="76" t="n"/>
      <c r="Q218" s="77" t="n"/>
    </row>
    <row r="219" ht="15" customHeight="1" s="234">
      <c r="A219" s="334" t="n"/>
      <c r="B219" s="335" t="n"/>
      <c r="C219" s="335" t="n"/>
      <c r="D219" s="336" t="n"/>
      <c r="E219" s="336" t="n"/>
      <c r="F219" s="336" t="n"/>
      <c r="G219" s="336" t="n"/>
      <c r="H219" s="336" t="n"/>
      <c r="I219" s="336" t="n"/>
      <c r="J219" s="336" t="n"/>
      <c r="K219" s="336" t="n"/>
      <c r="L219" s="336" t="n"/>
      <c r="M219" s="336" t="n"/>
      <c r="N219" s="336" t="n"/>
      <c r="O219" s="336" t="n"/>
      <c r="P219" s="336" t="n"/>
      <c r="Q219" s="337" t="n"/>
    </row>
    <row r="220">
      <c r="A220" s="74" t="n"/>
      <c r="B220" s="75" t="n"/>
      <c r="C220" s="75" t="n"/>
      <c r="D220" s="76" t="n"/>
      <c r="E220" s="76" t="n"/>
      <c r="F220" s="76" t="n"/>
      <c r="G220" s="76" t="n"/>
      <c r="H220" s="76" t="n"/>
      <c r="I220" s="76" t="n"/>
      <c r="J220" s="76" t="n"/>
      <c r="K220" s="76" t="n"/>
      <c r="L220" s="76" t="n"/>
      <c r="M220" s="76" t="n"/>
      <c r="N220" s="76" t="n"/>
      <c r="O220" s="76" t="n"/>
      <c r="P220" s="76" t="n"/>
      <c r="Q220" s="77" t="n"/>
    </row>
    <row r="221">
      <c r="A221" s="74" t="n"/>
      <c r="B221" s="75" t="n"/>
      <c r="C221" s="75" t="n"/>
      <c r="D221" s="76" t="n"/>
      <c r="E221" s="76" t="n"/>
      <c r="F221" s="76" t="n"/>
      <c r="G221" s="76" t="n"/>
      <c r="H221" s="76" t="n"/>
      <c r="I221" s="76" t="n"/>
      <c r="J221" s="76" t="n"/>
      <c r="K221" s="76" t="n"/>
      <c r="L221" s="76" t="n"/>
      <c r="M221" s="76" t="n"/>
      <c r="N221" s="76" t="n"/>
      <c r="O221" s="76" t="n"/>
      <c r="P221" s="76" t="n"/>
      <c r="Q221" s="77" t="n"/>
    </row>
    <row r="222" ht="15" customHeight="1" s="234">
      <c r="A222" s="334" t="n"/>
      <c r="B222" s="335" t="n"/>
      <c r="C222" s="335" t="n"/>
      <c r="D222" s="336" t="n"/>
      <c r="E222" s="336" t="n"/>
      <c r="F222" s="336" t="n"/>
      <c r="G222" s="336" t="n"/>
      <c r="H222" s="336" t="n"/>
      <c r="I222" s="336" t="n"/>
      <c r="J222" s="336" t="n"/>
      <c r="K222" s="336" t="n"/>
      <c r="L222" s="336" t="n"/>
      <c r="M222" s="336" t="n"/>
      <c r="N222" s="336" t="n"/>
      <c r="O222" s="336" t="n"/>
      <c r="P222" s="336" t="n"/>
      <c r="Q222" s="337" t="n"/>
    </row>
    <row r="223">
      <c r="A223" s="74" t="n"/>
      <c r="B223" s="75" t="n"/>
      <c r="C223" s="75" t="n"/>
      <c r="D223" s="76" t="n"/>
      <c r="E223" s="76" t="n"/>
      <c r="F223" s="76" t="n"/>
      <c r="G223" s="76" t="n"/>
      <c r="H223" s="76" t="n"/>
      <c r="I223" s="76" t="n"/>
      <c r="J223" s="76" t="n"/>
      <c r="K223" s="76" t="n"/>
      <c r="L223" s="76" t="n"/>
      <c r="M223" s="76" t="n"/>
      <c r="N223" s="76" t="n"/>
      <c r="O223" s="76" t="n"/>
      <c r="P223" s="76" t="n"/>
      <c r="Q223" s="77" t="n"/>
    </row>
    <row r="224">
      <c r="A224" s="74" t="n"/>
      <c r="B224" s="75" t="n"/>
      <c r="C224" s="75" t="n"/>
      <c r="D224" s="76" t="n"/>
      <c r="E224" s="76" t="n"/>
      <c r="F224" s="76" t="n"/>
      <c r="G224" s="76" t="n"/>
      <c r="H224" s="76" t="n"/>
      <c r="I224" s="76" t="n"/>
      <c r="J224" s="76" t="n"/>
      <c r="K224" s="76" t="n"/>
      <c r="L224" s="76" t="n"/>
      <c r="M224" s="76" t="n"/>
      <c r="N224" s="76" t="n"/>
      <c r="O224" s="76" t="n"/>
      <c r="P224" s="76" t="n"/>
      <c r="Q224" s="77" t="n"/>
    </row>
    <row r="225">
      <c r="A225" s="74" t="n"/>
      <c r="B225" s="75" t="n"/>
      <c r="C225" s="75" t="n"/>
      <c r="D225" s="76" t="n"/>
      <c r="E225" s="76" t="n"/>
      <c r="F225" s="76" t="n"/>
      <c r="G225" s="76" t="n"/>
      <c r="H225" s="76" t="n"/>
      <c r="I225" s="76" t="n"/>
      <c r="J225" s="76" t="n"/>
      <c r="K225" s="76" t="n"/>
      <c r="L225" s="76" t="n"/>
      <c r="M225" s="76" t="n"/>
      <c r="N225" s="76" t="n"/>
      <c r="O225" s="76" t="n"/>
      <c r="P225" s="76" t="n"/>
      <c r="Q225" s="77" t="n"/>
    </row>
    <row r="226">
      <c r="A226" s="74" t="n"/>
      <c r="B226" s="75" t="n"/>
      <c r="C226" s="75" t="n"/>
      <c r="D226" s="76" t="n"/>
      <c r="E226" s="76" t="n"/>
      <c r="F226" s="76" t="n"/>
      <c r="G226" s="76" t="n"/>
      <c r="H226" s="76" t="n"/>
      <c r="I226" s="76" t="n"/>
      <c r="J226" s="76" t="n"/>
      <c r="K226" s="76" t="n"/>
      <c r="L226" s="76" t="n"/>
      <c r="M226" s="76" t="n"/>
      <c r="N226" s="76" t="n"/>
      <c r="O226" s="76" t="n"/>
      <c r="P226" s="76" t="n"/>
      <c r="Q226" s="77" t="n"/>
    </row>
    <row r="227">
      <c r="A227" s="74" t="n"/>
      <c r="B227" s="75" t="n"/>
      <c r="C227" s="75" t="n"/>
      <c r="D227" s="76" t="n"/>
      <c r="E227" s="76" t="n"/>
      <c r="F227" s="76" t="n"/>
      <c r="G227" s="76" t="n"/>
      <c r="H227" s="76" t="n"/>
      <c r="I227" s="76" t="n"/>
      <c r="J227" s="76" t="n"/>
      <c r="K227" s="76" t="n"/>
      <c r="L227" s="76" t="n"/>
      <c r="M227" s="76" t="n"/>
      <c r="N227" s="76" t="n"/>
      <c r="O227" s="76" t="n"/>
      <c r="P227" s="76" t="n"/>
      <c r="Q227" s="77" t="n"/>
    </row>
    <row r="228">
      <c r="A228" s="74" t="n"/>
      <c r="B228" s="75" t="n"/>
      <c r="C228" s="75" t="n"/>
      <c r="D228" s="76" t="n"/>
      <c r="E228" s="76" t="n"/>
      <c r="F228" s="76" t="n"/>
      <c r="G228" s="76" t="n"/>
      <c r="H228" s="76" t="n"/>
      <c r="I228" s="76" t="n"/>
      <c r="J228" s="76" t="n"/>
      <c r="K228" s="76" t="n"/>
      <c r="L228" s="76" t="n"/>
      <c r="M228" s="76" t="n"/>
      <c r="N228" s="76" t="n"/>
      <c r="O228" s="76" t="n"/>
      <c r="P228" s="76" t="n"/>
      <c r="Q228" s="77" t="n"/>
    </row>
    <row r="229">
      <c r="A229" s="74" t="n"/>
      <c r="B229" s="75" t="n"/>
      <c r="C229" s="75" t="n"/>
      <c r="D229" s="76" t="n"/>
      <c r="E229" s="76" t="n"/>
      <c r="F229" s="76" t="n"/>
      <c r="G229" s="76" t="n"/>
      <c r="H229" s="76" t="n"/>
      <c r="I229" s="76" t="n"/>
      <c r="J229" s="76" t="n"/>
      <c r="K229" s="76" t="n"/>
      <c r="L229" s="76" t="n"/>
      <c r="M229" s="76" t="n"/>
      <c r="N229" s="76" t="n"/>
      <c r="O229" s="76" t="n"/>
      <c r="P229" s="76" t="n"/>
      <c r="Q229" s="77" t="n"/>
    </row>
    <row r="230" ht="15" customHeight="1" s="234">
      <c r="A230" s="334" t="n"/>
      <c r="B230" s="335" t="n"/>
      <c r="C230" s="335" t="n"/>
      <c r="D230" s="336" t="n"/>
      <c r="E230" s="336" t="n"/>
      <c r="F230" s="336" t="n"/>
      <c r="G230" s="336" t="n"/>
      <c r="H230" s="336" t="n"/>
      <c r="I230" s="336" t="n"/>
      <c r="J230" s="336" t="n"/>
      <c r="K230" s="336" t="n"/>
      <c r="L230" s="336" t="n"/>
      <c r="M230" s="336" t="n"/>
      <c r="N230" s="336" t="n"/>
      <c r="O230" s="336" t="n"/>
      <c r="P230" s="336" t="n"/>
      <c r="Q230" s="337" t="n"/>
    </row>
    <row r="231">
      <c r="A231" s="74" t="n"/>
      <c r="B231" s="75" t="n"/>
      <c r="C231" s="75" t="n"/>
      <c r="D231" s="76" t="n"/>
      <c r="E231" s="76" t="n"/>
      <c r="F231" s="76" t="n"/>
      <c r="G231" s="76" t="n"/>
      <c r="H231" s="76" t="n"/>
      <c r="I231" s="76" t="n"/>
      <c r="J231" s="76" t="n"/>
      <c r="K231" s="76" t="n"/>
      <c r="L231" s="76" t="n"/>
      <c r="M231" s="76" t="n"/>
      <c r="N231" s="76" t="n"/>
      <c r="O231" s="76" t="n"/>
      <c r="P231" s="76" t="n"/>
      <c r="Q231" s="77" t="n"/>
    </row>
    <row r="232">
      <c r="A232" s="74" t="n"/>
      <c r="B232" s="75" t="n"/>
      <c r="C232" s="75" t="n"/>
      <c r="D232" s="76" t="n"/>
      <c r="E232" s="76" t="n"/>
      <c r="F232" s="76" t="n"/>
      <c r="G232" s="76" t="n"/>
      <c r="H232" s="76" t="n"/>
      <c r="I232" s="76" t="n"/>
      <c r="J232" s="76" t="n"/>
      <c r="K232" s="76" t="n"/>
      <c r="L232" s="76" t="n"/>
      <c r="M232" s="76" t="n"/>
      <c r="N232" s="76" t="n"/>
      <c r="O232" s="76" t="n"/>
      <c r="P232" s="76" t="n"/>
      <c r="Q232" s="77" t="n"/>
    </row>
    <row r="233">
      <c r="A233" s="74" t="n"/>
      <c r="B233" s="75" t="n"/>
      <c r="C233" s="75" t="n"/>
      <c r="D233" s="76" t="n"/>
      <c r="E233" s="76" t="n"/>
      <c r="F233" s="76" t="n"/>
      <c r="G233" s="76" t="n"/>
      <c r="H233" s="76" t="n"/>
      <c r="I233" s="76" t="n"/>
      <c r="J233" s="76" t="n"/>
      <c r="K233" s="76" t="n"/>
      <c r="L233" s="76" t="n"/>
      <c r="M233" s="76" t="n"/>
      <c r="N233" s="76" t="n"/>
      <c r="O233" s="76" t="n"/>
      <c r="P233" s="76" t="n"/>
      <c r="Q233" s="77" t="n"/>
    </row>
    <row r="234" ht="15" customHeight="1" s="234">
      <c r="A234" s="334" t="n"/>
      <c r="B234" s="335" t="n"/>
      <c r="C234" s="335" t="n"/>
      <c r="D234" s="336" t="n"/>
      <c r="E234" s="336" t="n"/>
      <c r="F234" s="336" t="n"/>
      <c r="G234" s="336" t="n"/>
      <c r="H234" s="336" t="n"/>
      <c r="I234" s="336" t="n"/>
      <c r="J234" s="336" t="n"/>
      <c r="K234" s="336" t="n"/>
      <c r="L234" s="336" t="n"/>
      <c r="M234" s="336" t="n"/>
      <c r="N234" s="336" t="n"/>
      <c r="O234" s="336" t="n"/>
      <c r="P234" s="336" t="n"/>
      <c r="Q234" s="337" t="n"/>
    </row>
    <row r="235">
      <c r="A235" s="74" t="n"/>
      <c r="B235" s="75" t="n"/>
      <c r="C235" s="75" t="n"/>
      <c r="D235" s="76" t="n"/>
      <c r="E235" s="76" t="n"/>
      <c r="F235" s="76" t="n"/>
      <c r="G235" s="76" t="n"/>
      <c r="H235" s="76" t="n"/>
      <c r="I235" s="76" t="n"/>
      <c r="J235" s="76" t="n"/>
      <c r="K235" s="76" t="n"/>
      <c r="L235" s="76" t="n"/>
      <c r="M235" s="76" t="n"/>
      <c r="N235" s="76" t="n"/>
      <c r="O235" s="76" t="n"/>
      <c r="P235" s="76" t="n"/>
      <c r="Q235" s="77" t="n"/>
    </row>
    <row r="236">
      <c r="A236" s="74" t="n"/>
      <c r="B236" s="75" t="n"/>
      <c r="C236" s="75" t="n"/>
      <c r="D236" s="76" t="n"/>
      <c r="E236" s="76" t="n"/>
      <c r="F236" s="76" t="n"/>
      <c r="G236" s="76" t="n"/>
      <c r="H236" s="76" t="n"/>
      <c r="I236" s="76" t="n"/>
      <c r="J236" s="76" t="n"/>
      <c r="K236" s="76" t="n"/>
      <c r="L236" s="76" t="n"/>
      <c r="M236" s="76" t="n"/>
      <c r="N236" s="76" t="n"/>
      <c r="O236" s="76" t="n"/>
      <c r="P236" s="76" t="n"/>
      <c r="Q236" s="77" t="n"/>
    </row>
    <row r="237">
      <c r="A237" s="74" t="n"/>
      <c r="B237" s="75" t="n"/>
      <c r="C237" s="75" t="n"/>
      <c r="D237" s="76" t="n"/>
      <c r="E237" s="76" t="n"/>
      <c r="F237" s="76" t="n"/>
      <c r="G237" s="76" t="n"/>
      <c r="H237" s="76" t="n"/>
      <c r="I237" s="76" t="n"/>
      <c r="J237" s="76" t="n"/>
      <c r="K237" s="76" t="n"/>
      <c r="L237" s="76" t="n"/>
      <c r="M237" s="76" t="n"/>
      <c r="N237" s="76" t="n"/>
      <c r="O237" s="76" t="n"/>
      <c r="P237" s="76" t="n"/>
      <c r="Q237" s="77" t="n"/>
    </row>
    <row r="238">
      <c r="A238" s="74" t="n"/>
      <c r="B238" s="75" t="n"/>
      <c r="C238" s="75" t="n"/>
      <c r="D238" s="76" t="n"/>
      <c r="E238" s="76" t="n"/>
      <c r="F238" s="76" t="n"/>
      <c r="G238" s="76" t="n"/>
      <c r="H238" s="76" t="n"/>
      <c r="I238" s="76" t="n"/>
      <c r="J238" s="76" t="n"/>
      <c r="K238" s="76" t="n"/>
      <c r="L238" s="76" t="n"/>
      <c r="M238" s="76" t="n"/>
      <c r="N238" s="76" t="n"/>
      <c r="O238" s="76" t="n"/>
      <c r="P238" s="76" t="n"/>
      <c r="Q238" s="77" t="n"/>
    </row>
    <row r="239">
      <c r="A239" s="74" t="n"/>
      <c r="B239" s="75" t="n"/>
      <c r="C239" s="75" t="n"/>
      <c r="D239" s="76" t="n"/>
      <c r="E239" s="76" t="n"/>
      <c r="F239" s="76" t="n"/>
      <c r="G239" s="76" t="n"/>
      <c r="H239" s="76" t="n"/>
      <c r="I239" s="76" t="n"/>
      <c r="J239" s="76" t="n"/>
      <c r="K239" s="76" t="n"/>
      <c r="L239" s="76" t="n"/>
      <c r="M239" s="76" t="n"/>
      <c r="N239" s="76" t="n"/>
      <c r="O239" s="76" t="n"/>
      <c r="P239" s="76" t="n"/>
      <c r="Q239" s="77" t="n"/>
    </row>
    <row r="240">
      <c r="A240" s="74" t="n"/>
      <c r="B240" s="75" t="n"/>
      <c r="C240" s="75" t="n"/>
      <c r="D240" s="76" t="n"/>
      <c r="E240" s="76" t="n"/>
      <c r="F240" s="76" t="n"/>
      <c r="G240" s="76" t="n"/>
      <c r="H240" s="76" t="n"/>
      <c r="I240" s="76" t="n"/>
      <c r="J240" s="76" t="n"/>
      <c r="K240" s="76" t="n"/>
      <c r="L240" s="76" t="n"/>
      <c r="M240" s="76" t="n"/>
      <c r="N240" s="76" t="n"/>
      <c r="O240" s="76" t="n"/>
      <c r="P240" s="76" t="n"/>
      <c r="Q240" s="77" t="n"/>
    </row>
    <row r="241" ht="15" customHeight="1" s="234">
      <c r="A241" s="334" t="n"/>
      <c r="B241" s="335" t="n"/>
      <c r="C241" s="335" t="n"/>
      <c r="D241" s="336" t="n"/>
      <c r="E241" s="336" t="n"/>
      <c r="F241" s="336" t="n"/>
      <c r="G241" s="336" t="n"/>
      <c r="H241" s="336" t="n"/>
      <c r="I241" s="336" t="n"/>
      <c r="J241" s="336" t="n"/>
      <c r="K241" s="336" t="n"/>
      <c r="L241" s="336" t="n"/>
      <c r="M241" s="336" t="n"/>
      <c r="N241" s="336" t="n"/>
      <c r="O241" s="336" t="n"/>
      <c r="P241" s="336" t="n"/>
      <c r="Q241" s="337" t="n"/>
    </row>
    <row r="242" ht="15" customHeight="1" s="234">
      <c r="A242" s="334" t="n"/>
      <c r="B242" s="335" t="n"/>
      <c r="C242" s="335" t="n"/>
      <c r="D242" s="336" t="n"/>
      <c r="E242" s="336" t="n"/>
      <c r="F242" s="336" t="n"/>
      <c r="G242" s="336" t="n"/>
      <c r="H242" s="336" t="n"/>
      <c r="I242" s="336" t="n"/>
      <c r="J242" s="336" t="n"/>
      <c r="K242" s="336" t="n"/>
      <c r="L242" s="336" t="n"/>
      <c r="M242" s="336" t="n"/>
      <c r="N242" s="336" t="n"/>
      <c r="O242" s="336" t="n"/>
      <c r="P242" s="336" t="n"/>
      <c r="Q242" s="337" t="n"/>
    </row>
    <row r="243" ht="15" customHeight="1" s="234">
      <c r="A243" s="338" t="n"/>
      <c r="B243" s="339" t="n"/>
      <c r="C243" s="339" t="n"/>
      <c r="D243" s="340" t="n"/>
      <c r="E243" s="340" t="n"/>
      <c r="F243" s="340" t="n"/>
      <c r="G243" s="340" t="n"/>
      <c r="H243" s="340" t="n"/>
      <c r="I243" s="340" t="n"/>
      <c r="J243" s="340" t="n"/>
      <c r="K243" s="340" t="n"/>
      <c r="L243" s="340" t="n"/>
      <c r="M243" s="340" t="n"/>
      <c r="N243" s="340" t="n"/>
      <c r="O243" s="340" t="n"/>
      <c r="P243" s="340" t="n"/>
      <c r="Q243" s="341" t="n"/>
    </row>
  </sheetData>
  <mergeCells count="3">
    <mergeCell ref="A1:F1"/>
    <mergeCell ref="A28:Q28"/>
    <mergeCell ref="A4:F4"/>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O426"/>
  <sheetViews>
    <sheetView showGridLines="0" zoomScale="90" workbookViewId="0">
      <selection activeCell="A1" sqref="A1:F1"/>
    </sheetView>
  </sheetViews>
  <sheetFormatPr baseColWidth="8" defaultRowHeight="14.25"/>
  <cols>
    <col width="20.25" customWidth="1" style="234" min="1" max="1"/>
    <col width="12" customWidth="1" style="234" min="2" max="2"/>
    <col width="16" customWidth="1" style="234" min="3" max="3"/>
    <col width="28" customWidth="1" style="234" min="4" max="5"/>
    <col width="28" customWidth="1" style="234" min="5" max="5"/>
    <col width="24" customWidth="1" style="234" min="6" max="8"/>
    <col width="18" customWidth="1" style="234" min="9" max="11"/>
    <col width="13" customWidth="1" style="234" min="12" max="14"/>
    <col width="28" customWidth="1" style="234" min="15" max="15"/>
  </cols>
  <sheetData>
    <row r="1" ht="30" customHeight="1" s="234">
      <c r="A1" s="275" t="inlineStr">
        <is>
          <t>Rent Roll - Source, Parsed Audit, and Unit Detail</t>
        </is>
      </c>
    </row>
    <row r="2" ht="21.95" customFormat="1" customHeight="1" s="248">
      <c r="A2" s="276">
        <f>B10</f>
        <v>0.9375</v>
      </c>
      <c r="B2" s="310">
        <f>IFERROR(B19/Inputs!$B$13,0)</f>
        <v>1089.5833333333333</v>
      </c>
      <c r="C2" s="278">
        <f>B9</f>
        <v>6</v>
      </c>
      <c r="D2" s="310">
        <f>B17</f>
        <v>10950</v>
      </c>
    </row>
    <row r="3" ht="21" customFormat="1" customHeight="1" s="248">
      <c r="A3" s="281" t="inlineStr">
        <is>
          <t>OFFICIAL OCCUPANCY</t>
        </is>
      </c>
      <c r="B3" s="262" t="inlineStr">
        <is>
          <t>ADJ AVG RENT/UNIT</t>
        </is>
      </c>
      <c r="C3" s="262" t="inlineStr">
        <is>
          <t>VACANT UNITS</t>
        </is>
      </c>
      <c r="D3" s="262" t="inlineStr">
        <is>
          <t>LOSS-TO-LEASE (MO)</t>
        </is>
      </c>
    </row>
    <row r="4" ht="8.1" customHeight="1" s="234"/>
    <row r="5" ht="15" customHeight="1" s="234">
      <c r="A5" s="283" t="inlineStr">
        <is>
          <t>Metric</t>
        </is>
      </c>
      <c r="B5" s="283" t="inlineStr">
        <is>
          <t>Value</t>
        </is>
      </c>
      <c r="C5" s="342" t="inlineStr">
        <is>
          <t>Source</t>
        </is>
      </c>
      <c r="D5" s="342" t="inlineStr">
        <is>
          <t>How/Why</t>
        </is>
      </c>
      <c r="E5" s="342" t="inlineStr">
        <is>
          <t>Flag</t>
        </is>
      </c>
      <c r="F5" s="342" t="inlineStr">
        <is>
          <t>Note</t>
        </is>
      </c>
    </row>
    <row r="6" ht="28.5" customHeight="1" s="234">
      <c r="A6" s="343" t="inlineStr">
        <is>
          <t>Report As Of</t>
        </is>
      </c>
      <c r="B6" s="344" t="n">
        <v>46310</v>
      </c>
      <c r="C6" s="343" t="inlineStr">
        <is>
          <t>Rent roll source</t>
        </is>
      </c>
      <c r="D6" s="343" t="inlineStr">
        <is>
          <t>Report date from uploaded rent roll.</t>
        </is>
      </c>
      <c r="E6" s="343" t="inlineStr">
        <is>
          <t>Source</t>
        </is>
      </c>
      <c r="F6" s="343" t="n"/>
    </row>
    <row r="7" ht="42.75" customHeight="1" s="234">
      <c r="A7" s="343" t="inlineStr">
        <is>
          <t>Official Units</t>
        </is>
      </c>
      <c r="B7" s="345" t="n">
        <v>96</v>
      </c>
      <c r="C7" s="343" t="inlineStr">
        <is>
          <t>Rent roll summary / OM</t>
        </is>
      </c>
      <c r="D7" s="343" t="inlineStr">
        <is>
          <t>Source unit count.</t>
        </is>
      </c>
      <c r="E7" s="343" t="inlineStr">
        <is>
          <t>Source</t>
        </is>
      </c>
      <c r="F7" s="343" t="n"/>
    </row>
    <row r="8" ht="57" customHeight="1" s="234">
      <c r="A8" s="343" t="inlineStr">
        <is>
          <t>Official Occupied Units</t>
        </is>
      </c>
      <c r="B8" s="345" t="n">
        <v>90</v>
      </c>
      <c r="C8" s="343" t="inlineStr">
        <is>
          <t>Rent roll report summary</t>
        </is>
      </c>
      <c r="D8" s="343" t="inlineStr">
        <is>
          <t>Source occupied count from report summary.</t>
        </is>
      </c>
      <c r="E8" s="343" t="inlineStr">
        <is>
          <t>Source</t>
        </is>
      </c>
      <c r="F8" s="343" t="n"/>
    </row>
    <row r="9" ht="57" customHeight="1" s="234">
      <c r="A9" s="343" t="inlineStr">
        <is>
          <t>Official Vacant Units</t>
        </is>
      </c>
      <c r="B9" s="345" t="n">
        <v>6</v>
      </c>
      <c r="C9" s="343" t="inlineStr">
        <is>
          <t>Rent roll report summary</t>
        </is>
      </c>
      <c r="D9" s="343" t="inlineStr">
        <is>
          <t>Source vacant count from report summary.</t>
        </is>
      </c>
      <c r="E9" s="343" t="inlineStr">
        <is>
          <t>Source</t>
        </is>
      </c>
      <c r="F9" s="343" t="n"/>
    </row>
    <row r="10" ht="57" customHeight="1" s="234">
      <c r="A10" s="343" t="inlineStr">
        <is>
          <t>Official Occupancy</t>
        </is>
      </c>
      <c r="B10" s="346" t="n">
        <v>0.9375</v>
      </c>
      <c r="C10" s="343" t="inlineStr">
        <is>
          <t>Rent roll report summary</t>
        </is>
      </c>
      <c r="D10" s="343" t="inlineStr">
        <is>
          <t>Official occupancy % from rent roll summary.</t>
        </is>
      </c>
      <c r="E10" s="343" t="inlineStr">
        <is>
          <t>Source</t>
        </is>
      </c>
      <c r="F10" s="343" t="n"/>
    </row>
    <row r="11" ht="57" customHeight="1" s="234">
      <c r="A11" s="347" t="inlineStr">
        <is>
          <t>Parsed Unit Count</t>
        </is>
      </c>
      <c r="B11" s="348">
        <f>COUNTA(A23:A2022)</f>
        <v>96</v>
      </c>
      <c r="C11" s="347" t="inlineStr">
        <is>
          <t>Calculated from unit-level rows</t>
        </is>
      </c>
      <c r="D11" s="347" t="inlineStr">
        <is>
          <t>COUNTA of unit numbers in the parsed unit table.</t>
        </is>
      </c>
      <c r="E11" s="347" t="inlineStr">
        <is>
          <t>Calculated</t>
        </is>
      </c>
      <c r="F11" s="347" t="inlineStr">
        <is>
          <t>Audit ties to source unit count.</t>
        </is>
      </c>
    </row>
    <row r="12" ht="71.25" customHeight="1" s="234">
      <c r="A12" s="347" t="inlineStr">
        <is>
          <t>Parsed Occupied Units</t>
        </is>
      </c>
      <c r="B12" s="348">
        <f>SUM(M23:M2022)</f>
        <v>90</v>
      </c>
      <c r="C12" s="347" t="inlineStr">
        <is>
          <t>Calculated from rent charge flag</t>
        </is>
      </c>
      <c r="D12" s="347" t="inlineStr">
        <is>
          <t>SUM of occupied flags where rent charge is present.</t>
        </is>
      </c>
      <c r="E12" s="347" t="inlineStr">
        <is>
          <t>Calculated</t>
        </is>
      </c>
      <c r="F12" s="347" t="inlineStr">
        <is>
          <t>Parser count can differ from official summary.</t>
        </is>
      </c>
    </row>
    <row r="13" ht="57" customHeight="1" s="234">
      <c r="A13" s="347" t="inlineStr">
        <is>
          <t>Parsed Vacant Units</t>
        </is>
      </c>
      <c r="B13" s="348">
        <f>B11-B12</f>
        <v>6</v>
      </c>
      <c r="C13" s="347" t="inlineStr">
        <is>
          <t>Calculated from unit-level rows</t>
        </is>
      </c>
      <c r="D13" s="347" t="inlineStr">
        <is>
          <t>Parsed unit count minus parsed occupied units.</t>
        </is>
      </c>
      <c r="E13" s="347" t="inlineStr">
        <is>
          <t>Calculated</t>
        </is>
      </c>
      <c r="F13" s="347" t="inlineStr">
        <is>
          <t>Audit item.</t>
        </is>
      </c>
    </row>
    <row r="14" ht="57" customHeight="1" s="234">
      <c r="A14" s="347" t="inlineStr">
        <is>
          <t>Parsed Occupancy</t>
        </is>
      </c>
      <c r="B14" s="296">
        <f>IFERROR(B12/B11,0)</f>
        <v>0.9375</v>
      </c>
      <c r="C14" s="347" t="inlineStr">
        <is>
          <t>Calculated from unit-level rows</t>
        </is>
      </c>
      <c r="D14" s="347" t="inlineStr">
        <is>
          <t>Parsed occupied units / parsed unit count.</t>
        </is>
      </c>
      <c r="E14" s="347" t="inlineStr">
        <is>
          <t>Calculated</t>
        </is>
      </c>
      <c r="F14" s="347" t="inlineStr">
        <is>
          <t>Compare to official occupancy.</t>
        </is>
      </c>
    </row>
    <row r="15" ht="57" customHeight="1" s="234">
      <c r="A15" s="347" t="inlineStr">
        <is>
          <t>Monthly Market Rent</t>
        </is>
      </c>
      <c r="B15" s="349">
        <f>SUM(F23:F2022)</f>
        <v>109135</v>
      </c>
      <c r="C15" s="347" t="inlineStr">
        <is>
          <t>Calculated from unit-level rows</t>
        </is>
      </c>
      <c r="D15" s="347" t="inlineStr">
        <is>
          <t>SUM of market rent column.</t>
        </is>
      </c>
      <c r="E15" s="347" t="inlineStr">
        <is>
          <t>Calculated</t>
        </is>
      </c>
      <c r="F15" s="347" t="inlineStr">
        <is>
          <t>Annualizes into Year 1 base GPR.</t>
        </is>
      </c>
    </row>
    <row r="16" ht="57" customHeight="1" s="234">
      <c r="A16" s="347" t="inlineStr">
        <is>
          <t>Monthly In-place Rent Charges</t>
        </is>
      </c>
      <c r="B16" s="349">
        <f>SUM(G23:G2022)</f>
        <v>98185</v>
      </c>
      <c r="C16" s="347" t="inlineStr">
        <is>
          <t>Calculated from unit-level rows</t>
        </is>
      </c>
      <c r="D16" s="347" t="inlineStr">
        <is>
          <t>SUM of rent charge column.</t>
        </is>
      </c>
      <c r="E16" s="347" t="inlineStr">
        <is>
          <t>Calculated</t>
        </is>
      </c>
      <c r="F16" s="347" t="inlineStr">
        <is>
          <t>Shows actual rent roll charge base.</t>
        </is>
      </c>
    </row>
    <row r="17" ht="71.25" customHeight="1" s="234">
      <c r="A17" s="347" t="inlineStr">
        <is>
          <t>Monthly Loss-to-Lease</t>
        </is>
      </c>
      <c r="B17" s="349">
        <f>B15-B16</f>
        <v>10950</v>
      </c>
      <c r="C17" s="347" t="inlineStr">
        <is>
          <t>Calculated from unit-level rows</t>
        </is>
      </c>
      <c r="D17" s="347" t="inlineStr">
        <is>
          <t>Monthly market rent minus rent charges.</t>
        </is>
      </c>
      <c r="E17" s="347" t="inlineStr">
        <is>
          <t>Calculated</t>
        </is>
      </c>
      <c r="F17" s="347" t="inlineStr">
        <is>
          <t>Shows embedded rent gap before renovations.</t>
        </is>
      </c>
    </row>
    <row r="18" ht="57" customHeight="1" s="234">
      <c r="A18" s="347" t="inlineStr">
        <is>
          <t>Total Resident Balance</t>
        </is>
      </c>
      <c r="B18" s="349">
        <f>SUM(L23:L2022)</f>
        <v>3760</v>
      </c>
      <c r="C18" s="347" t="inlineStr">
        <is>
          <t>Calculated from unit-level rows</t>
        </is>
      </c>
      <c r="D18" s="347" t="inlineStr">
        <is>
          <t>SUM of balance column.</t>
        </is>
      </c>
      <c r="E18" s="347" t="inlineStr">
        <is>
          <t>Calculated</t>
        </is>
      </c>
      <c r="F18" s="347" t="inlineStr">
        <is>
          <t>Collections / bad debt diligence item.</t>
        </is>
      </c>
    </row>
    <row r="19" ht="22.5" customHeight="1" s="234">
      <c r="A19" t="inlineStr">
        <is>
          <t>Adjusted Monthly Rent (vacants at market)</t>
        </is>
      </c>
      <c r="B19" s="350">
        <f>B16+SUMPRODUCT((G23:G2022=0)*(F23:F2022))</f>
        <v>104600</v>
      </c>
      <c r="C19" s="351" t="inlineStr">
        <is>
          <t>Calculated from unit-level rows</t>
        </is>
      </c>
      <c r="D19" s="351" t="inlineStr">
        <is>
          <t>In-place rent charges plus market rent for vacant units, so $0 vacant charges do not drag the average down.</t>
        </is>
      </c>
      <c r="E19" s="351" t="inlineStr">
        <is>
          <t>Calculated</t>
        </is>
      </c>
    </row>
    <row r="20"/>
    <row r="21"/>
    <row r="22" ht="30" customHeight="1" s="234">
      <c r="A22" s="283" t="inlineStr">
        <is>
          <t>Unit</t>
        </is>
      </c>
      <c r="B22" s="283" t="inlineStr">
        <is>
          <t>Unit Type</t>
        </is>
      </c>
      <c r="C22" s="342" t="inlineStr">
        <is>
          <t>SqFt</t>
        </is>
      </c>
      <c r="D22" s="342" t="inlineStr">
        <is>
          <t>Resident ID</t>
        </is>
      </c>
      <c r="E22" s="342" t="inlineStr">
        <is>
          <t>Resident Name</t>
        </is>
      </c>
      <c r="F22" s="342" t="inlineStr">
        <is>
          <t>Market Rent</t>
        </is>
      </c>
      <c r="G22" s="283" t="inlineStr">
        <is>
          <t>Rent Charge</t>
        </is>
      </c>
      <c r="H22" s="283" t="inlineStr">
        <is>
          <t>Total Charges</t>
        </is>
      </c>
      <c r="I22" s="283" t="inlineStr">
        <is>
          <t>Move In</t>
        </is>
      </c>
      <c r="J22" s="283" t="inlineStr">
        <is>
          <t>Lease Expiration</t>
        </is>
      </c>
      <c r="K22" s="283" t="inlineStr">
        <is>
          <t>Move Out</t>
        </is>
      </c>
      <c r="L22" s="283" t="inlineStr">
        <is>
          <t>Balance</t>
        </is>
      </c>
      <c r="M22" s="283" t="inlineStr">
        <is>
          <t>Occupied Flag</t>
        </is>
      </c>
      <c r="N22" s="283" t="inlineStr">
        <is>
          <t>Loss to Lease</t>
        </is>
      </c>
      <c r="O22" s="283" t="inlineStr">
        <is>
          <t>Status Section</t>
        </is>
      </c>
    </row>
    <row r="23" ht="28.5" customHeight="1" s="234">
      <c r="A23" s="289" t="inlineStr">
        <is>
          <t>A101</t>
        </is>
      </c>
      <c r="B23" s="289" t="inlineStr">
        <is>
          <t>A1</t>
        </is>
      </c>
      <c r="C23" s="289" t="n">
        <v>720</v>
      </c>
      <c r="D23" s="289" t="inlineStr">
        <is>
          <t>R100200</t>
        </is>
      </c>
      <c r="E23" s="289" t="inlineStr">
        <is>
          <t>Mbeki, Imani</t>
        </is>
      </c>
      <c r="F23" s="352" t="n">
        <v>965</v>
      </c>
      <c r="G23" s="352" t="n">
        <v>915</v>
      </c>
      <c r="H23" s="352" t="n">
        <v>915</v>
      </c>
      <c r="I23" s="353" t="n">
        <v>46060</v>
      </c>
      <c r="J23" s="353" t="n">
        <v>46424</v>
      </c>
      <c r="K23" s="289" t="n"/>
      <c r="L23" s="352" t="n">
        <v>0</v>
      </c>
      <c r="M23" s="289" t="n">
        <v>1</v>
      </c>
      <c r="N23" s="352" t="n">
        <v>117</v>
      </c>
      <c r="O23" s="289" t="inlineStr">
        <is>
          <t>Current/Notice/Vacant Residents</t>
        </is>
      </c>
    </row>
    <row r="24" ht="28.5" customHeight="1" s="234">
      <c r="A24" s="289" t="inlineStr">
        <is>
          <t>A102</t>
        </is>
      </c>
      <c r="B24" s="289" t="inlineStr">
        <is>
          <t>B2</t>
        </is>
      </c>
      <c r="C24" s="289" t="n">
        <v>1032</v>
      </c>
      <c r="D24" s="289" t="inlineStr">
        <is>
          <t>R100207</t>
        </is>
      </c>
      <c r="E24" s="289" t="inlineStr">
        <is>
          <t>Yoder, Devon</t>
        </is>
      </c>
      <c r="F24" s="352" t="n">
        <v>1235</v>
      </c>
      <c r="G24" s="352" t="n">
        <v>1135</v>
      </c>
      <c r="H24" s="352" t="n">
        <v>1135</v>
      </c>
      <c r="I24" s="353" t="n">
        <v>46099</v>
      </c>
      <c r="J24" s="353" t="n">
        <v>46463</v>
      </c>
      <c r="K24" s="289" t="n"/>
      <c r="L24" s="352" t="n">
        <v>0</v>
      </c>
      <c r="M24" s="289" t="n">
        <v>1</v>
      </c>
      <c r="N24" s="352" t="n">
        <v>158</v>
      </c>
      <c r="O24" s="289" t="inlineStr">
        <is>
          <t>Current/Notice/Vacant Residents</t>
        </is>
      </c>
    </row>
    <row r="25" ht="28.5" customHeight="1" s="234">
      <c r="A25" s="289" t="inlineStr">
        <is>
          <t>A103</t>
        </is>
      </c>
      <c r="B25" s="289" t="inlineStr">
        <is>
          <t>B1</t>
        </is>
      </c>
      <c r="C25" s="289" t="n">
        <v>932</v>
      </c>
      <c r="D25" s="289" t="inlineStr">
        <is>
          <t>R100214</t>
        </is>
      </c>
      <c r="E25" s="289" t="inlineStr">
        <is>
          <t>Lindqvist, Aaliyah</t>
        </is>
      </c>
      <c r="F25" s="352" t="n">
        <v>1160</v>
      </c>
      <c r="G25" s="352" t="n">
        <v>1090</v>
      </c>
      <c r="H25" s="352" t="n">
        <v>1090</v>
      </c>
      <c r="I25" s="353" t="n">
        <v>45682</v>
      </c>
      <c r="J25" s="353" t="n">
        <v>46411</v>
      </c>
      <c r="K25" s="289" t="n"/>
      <c r="L25" s="352" t="n">
        <v>0</v>
      </c>
      <c r="M25" s="289" t="n">
        <v>1</v>
      </c>
      <c r="N25" s="352" t="n">
        <v>-22</v>
      </c>
      <c r="O25" s="289" t="inlineStr">
        <is>
          <t>Current/Notice/Vacant Residents</t>
        </is>
      </c>
    </row>
    <row r="26" ht="28.5" customHeight="1" s="234">
      <c r="A26" s="289" t="inlineStr">
        <is>
          <t>A104</t>
        </is>
      </c>
      <c r="B26" s="289" t="inlineStr">
        <is>
          <t>B1</t>
        </is>
      </c>
      <c r="C26" s="289" t="n">
        <v>918</v>
      </c>
      <c r="D26" s="289" t="inlineStr">
        <is>
          <t>R100221</t>
        </is>
      </c>
      <c r="E26" s="289" t="inlineStr">
        <is>
          <t>Sandoval, Elena</t>
        </is>
      </c>
      <c r="F26" s="352" t="n">
        <v>1150</v>
      </c>
      <c r="G26" s="352" t="n">
        <v>1105</v>
      </c>
      <c r="H26" s="352" t="n">
        <v>1105</v>
      </c>
      <c r="I26" s="353" t="n">
        <v>46049</v>
      </c>
      <c r="J26" s="353" t="n">
        <v>46413</v>
      </c>
      <c r="K26" s="289" t="n"/>
      <c r="L26" s="352" t="n">
        <v>0</v>
      </c>
      <c r="M26" s="289" t="n">
        <v>1</v>
      </c>
      <c r="N26" s="352" t="n">
        <v>87</v>
      </c>
      <c r="O26" s="289" t="inlineStr">
        <is>
          <t>Current/Notice/Vacant Residents</t>
        </is>
      </c>
    </row>
    <row r="27" ht="28.5" customHeight="1" s="234">
      <c r="A27" s="289" t="inlineStr">
        <is>
          <t>A201</t>
        </is>
      </c>
      <c r="B27" s="289" t="inlineStr">
        <is>
          <t>A1</t>
        </is>
      </c>
      <c r="C27" s="289" t="n">
        <v>712</v>
      </c>
      <c r="D27" s="289" t="inlineStr">
        <is>
          <t>R100228</t>
        </is>
      </c>
      <c r="E27" s="289" t="inlineStr">
        <is>
          <t>Brennan, Marcus</t>
        </is>
      </c>
      <c r="F27" s="352" t="n">
        <v>985</v>
      </c>
      <c r="G27" s="352" t="n">
        <v>955</v>
      </c>
      <c r="H27" s="352" t="n">
        <v>955</v>
      </c>
      <c r="I27" s="353" t="n">
        <v>45329</v>
      </c>
      <c r="J27" s="353" t="n">
        <v>46423</v>
      </c>
      <c r="K27" s="289" t="n"/>
      <c r="L27" s="352" t="n">
        <v>0</v>
      </c>
      <c r="M27" s="289" t="n">
        <v>1</v>
      </c>
      <c r="N27" s="352" t="n">
        <v>208</v>
      </c>
      <c r="O27" s="289" t="inlineStr">
        <is>
          <t>Current/Notice/Vacant Residents</t>
        </is>
      </c>
    </row>
    <row r="28" ht="28.5" customHeight="1" s="234">
      <c r="A28" s="289" t="inlineStr">
        <is>
          <t>A202</t>
        </is>
      </c>
      <c r="B28" s="289" t="inlineStr">
        <is>
          <t>B1</t>
        </is>
      </c>
      <c r="C28" s="289" t="n">
        <v>924</v>
      </c>
      <c r="D28" s="289" t="inlineStr">
        <is>
          <t>R100235</t>
        </is>
      </c>
      <c r="E28" s="289" t="inlineStr">
        <is>
          <t>Espinoza, Andre</t>
        </is>
      </c>
      <c r="F28" s="352" t="n">
        <v>1150</v>
      </c>
      <c r="G28" s="352" t="n">
        <v>1090</v>
      </c>
      <c r="H28" s="352" t="n">
        <v>1090</v>
      </c>
      <c r="I28" s="353" t="n">
        <v>46134</v>
      </c>
      <c r="J28" s="353" t="n">
        <v>46498</v>
      </c>
      <c r="K28" s="289" t="n"/>
      <c r="L28" s="352" t="n">
        <v>0</v>
      </c>
      <c r="M28" s="289" t="n">
        <v>1</v>
      </c>
      <c r="N28" s="352" t="n">
        <v>-33</v>
      </c>
      <c r="O28" s="289" t="inlineStr">
        <is>
          <t>Current/Notice/Vacant Residents</t>
        </is>
      </c>
    </row>
    <row r="29" ht="28.5" customHeight="1" s="234">
      <c r="A29" s="289" t="inlineStr">
        <is>
          <t>A203</t>
        </is>
      </c>
      <c r="B29" s="289" t="inlineStr">
        <is>
          <t>B1</t>
        </is>
      </c>
      <c r="C29" s="289" t="n">
        <v>924</v>
      </c>
      <c r="D29" s="289" t="inlineStr">
        <is>
          <t>R100242</t>
        </is>
      </c>
      <c r="E29" s="289" t="inlineStr">
        <is>
          <t>Quill, Priya</t>
        </is>
      </c>
      <c r="F29" s="352" t="n">
        <v>1140</v>
      </c>
      <c r="G29" s="352" t="n">
        <v>1070</v>
      </c>
      <c r="H29" s="352" t="n">
        <v>1070</v>
      </c>
      <c r="I29" s="353" t="n">
        <v>45994</v>
      </c>
      <c r="J29" s="353" t="n">
        <v>46358</v>
      </c>
      <c r="K29" s="289" t="n"/>
      <c r="L29" s="352" t="n">
        <v>0</v>
      </c>
      <c r="M29" s="289" t="n">
        <v>1</v>
      </c>
      <c r="N29" s="352" t="n">
        <v>86</v>
      </c>
      <c r="O29" s="289" t="inlineStr">
        <is>
          <t>Current/Notice/Vacant Residents</t>
        </is>
      </c>
    </row>
    <row r="30" ht="28.5" customHeight="1" s="234">
      <c r="A30" s="289" t="inlineStr">
        <is>
          <t>A204</t>
        </is>
      </c>
      <c r="B30" s="289" t="inlineStr">
        <is>
          <t>B2</t>
        </is>
      </c>
      <c r="C30" s="289" t="n">
        <v>1046</v>
      </c>
      <c r="D30" s="289" t="inlineStr">
        <is>
          <t>R100249</t>
        </is>
      </c>
      <c r="E30" s="289" t="inlineStr">
        <is>
          <t>Dunmore, Tyrone</t>
        </is>
      </c>
      <c r="F30" s="352" t="n">
        <v>1250</v>
      </c>
      <c r="G30" s="352" t="n">
        <v>1200</v>
      </c>
      <c r="H30" s="352" t="n">
        <v>1200</v>
      </c>
      <c r="I30" s="353" t="n">
        <v>45560</v>
      </c>
      <c r="J30" s="353" t="n">
        <v>46654</v>
      </c>
      <c r="K30" s="289" t="n"/>
      <c r="L30" s="352" t="n">
        <v>0</v>
      </c>
      <c r="M30" s="289" t="n">
        <v>1</v>
      </c>
      <c r="N30" s="352" t="n">
        <v>-21</v>
      </c>
      <c r="O30" s="289" t="inlineStr">
        <is>
          <t>Current/Notice/Vacant Residents</t>
        </is>
      </c>
    </row>
    <row r="31" ht="28.5" customHeight="1" s="234">
      <c r="A31" s="289" t="inlineStr">
        <is>
          <t>A301</t>
        </is>
      </c>
      <c r="B31" s="289" t="inlineStr">
        <is>
          <t>B1</t>
        </is>
      </c>
      <c r="C31" s="289" t="n">
        <v>924</v>
      </c>
      <c r="D31" s="289" t="inlineStr">
        <is>
          <t>R100256</t>
        </is>
      </c>
      <c r="E31" s="289" t="inlineStr">
        <is>
          <t>Espinoza, Rosa</t>
        </is>
      </c>
      <c r="F31" s="352" t="n">
        <v>1160</v>
      </c>
      <c r="G31" s="352" t="n">
        <v>1160</v>
      </c>
      <c r="H31" s="352" t="n">
        <v>1160</v>
      </c>
      <c r="I31" s="353" t="n">
        <v>45540</v>
      </c>
      <c r="J31" s="353" t="n">
        <v>46634</v>
      </c>
      <c r="K31" s="289" t="n"/>
      <c r="L31" s="352" t="n">
        <v>75</v>
      </c>
      <c r="M31" s="289" t="n">
        <v>1</v>
      </c>
      <c r="N31" s="352" t="n">
        <v>-55</v>
      </c>
      <c r="O31" s="289" t="inlineStr">
        <is>
          <t>Current/Notice/Vacant Residents</t>
        </is>
      </c>
    </row>
    <row r="32" ht="28.5" customHeight="1" s="234">
      <c r="A32" s="289" t="inlineStr">
        <is>
          <t>A302</t>
        </is>
      </c>
      <c r="B32" s="289" t="inlineStr">
        <is>
          <t>A1</t>
        </is>
      </c>
      <c r="C32" s="289" t="n">
        <v>706</v>
      </c>
      <c r="D32" s="289" t="inlineStr">
        <is>
          <t>R100263</t>
        </is>
      </c>
      <c r="E32" s="289" t="inlineStr">
        <is>
          <t>Brennan, Victor</t>
        </is>
      </c>
      <c r="F32" s="352" t="n">
        <v>980</v>
      </c>
      <c r="G32" s="352" t="n">
        <v>950</v>
      </c>
      <c r="H32" s="352" t="n">
        <v>950</v>
      </c>
      <c r="I32" s="353" t="n">
        <v>46046</v>
      </c>
      <c r="J32" s="353" t="n">
        <v>46410</v>
      </c>
      <c r="K32" s="289" t="n"/>
      <c r="L32" s="352" t="n">
        <v>0</v>
      </c>
      <c r="M32" s="289" t="n">
        <v>1</v>
      </c>
      <c r="N32" s="352" t="n">
        <v>48</v>
      </c>
      <c r="O32" s="289" t="inlineStr">
        <is>
          <t>Current/Notice/Vacant Residents</t>
        </is>
      </c>
    </row>
    <row r="33">
      <c r="A33" s="289" t="inlineStr">
        <is>
          <t>A303</t>
        </is>
      </c>
      <c r="B33" s="289" t="inlineStr">
        <is>
          <t>B1</t>
        </is>
      </c>
      <c r="C33" s="289" t="n">
        <v>932</v>
      </c>
      <c r="D33" s="289" t="inlineStr">
        <is>
          <t>R100270</t>
        </is>
      </c>
      <c r="E33" s="289" t="inlineStr">
        <is>
          <t>Brennan, Elena</t>
        </is>
      </c>
      <c r="F33" s="352" t="n">
        <v>1160</v>
      </c>
      <c r="G33" s="352" t="n">
        <v>1065</v>
      </c>
      <c r="H33" s="352" t="n">
        <v>1065</v>
      </c>
      <c r="I33" s="353" t="n">
        <v>45468</v>
      </c>
      <c r="J33" s="353" t="n">
        <v>46562</v>
      </c>
      <c r="K33" s="289" t="n"/>
      <c r="L33" s="352" t="n">
        <v>0</v>
      </c>
      <c r="M33" s="289" t="n">
        <v>1</v>
      </c>
      <c r="N33" s="352" t="n">
        <v>1699</v>
      </c>
      <c r="O33" s="289" t="inlineStr">
        <is>
          <t>Current/Notice/Vacant Residents</t>
        </is>
      </c>
    </row>
    <row r="34" ht="28.5" customHeight="1" s="234">
      <c r="A34" s="289" t="inlineStr">
        <is>
          <t>A304</t>
        </is>
      </c>
      <c r="B34" s="289" t="inlineStr">
        <is>
          <t>C1</t>
        </is>
      </c>
      <c r="C34" s="289" t="n">
        <v>1212</v>
      </c>
      <c r="D34" s="289" t="inlineStr">
        <is>
          <t>R100277</t>
        </is>
      </c>
      <c r="E34" s="289" t="inlineStr">
        <is>
          <t>Gutierrez, Owen</t>
        </is>
      </c>
      <c r="F34" s="352" t="n">
        <v>1440</v>
      </c>
      <c r="G34" s="352" t="n">
        <v>1410</v>
      </c>
      <c r="H34" s="352" t="n">
        <v>1410</v>
      </c>
      <c r="I34" s="353" t="n">
        <v>46167</v>
      </c>
      <c r="J34" s="353" t="n">
        <v>46531</v>
      </c>
      <c r="K34" s="289" t="n"/>
      <c r="L34" s="352" t="n">
        <v>0</v>
      </c>
      <c r="M34" s="289" t="n">
        <v>1</v>
      </c>
      <c r="N34" s="352" t="n">
        <v>-77</v>
      </c>
      <c r="O34" s="289" t="inlineStr">
        <is>
          <t>Current/Notice/Vacant Residents</t>
        </is>
      </c>
    </row>
    <row r="35" ht="28.5" customHeight="1" s="234">
      <c r="A35" s="289" t="inlineStr">
        <is>
          <t>B101</t>
        </is>
      </c>
      <c r="B35" s="289" t="inlineStr">
        <is>
          <t>C1</t>
        </is>
      </c>
      <c r="C35" s="289" t="n">
        <v>1198</v>
      </c>
      <c r="D35" s="289" t="inlineStr">
        <is>
          <t>R100284</t>
        </is>
      </c>
      <c r="E35" s="289" t="inlineStr">
        <is>
          <t>Dunmore, Yolanda</t>
        </is>
      </c>
      <c r="F35" s="352" t="n">
        <v>1450</v>
      </c>
      <c r="G35" s="352" t="n">
        <v>1450</v>
      </c>
      <c r="H35" s="352" t="n">
        <v>1450</v>
      </c>
      <c r="I35" s="353" t="n">
        <v>45887</v>
      </c>
      <c r="J35" s="353" t="n">
        <v>46616</v>
      </c>
      <c r="K35" s="289" t="n"/>
      <c r="L35" s="352" t="n">
        <v>0</v>
      </c>
      <c r="M35" s="289" t="n">
        <v>1</v>
      </c>
      <c r="N35" s="352" t="n">
        <v>8</v>
      </c>
      <c r="O35" s="289" t="inlineStr">
        <is>
          <t>Current/Notice/Vacant Residents</t>
        </is>
      </c>
    </row>
    <row r="36" ht="28.5" customHeight="1" s="234">
      <c r="A36" s="289" t="inlineStr">
        <is>
          <t>B102</t>
        </is>
      </c>
      <c r="B36" s="289" t="inlineStr">
        <is>
          <t>B1</t>
        </is>
      </c>
      <c r="C36" s="289" t="n">
        <v>924</v>
      </c>
      <c r="D36" s="289" t="inlineStr">
        <is>
          <t>R100291</t>
        </is>
      </c>
      <c r="E36" s="289" t="inlineStr">
        <is>
          <t>Espinoza, Yolanda</t>
        </is>
      </c>
      <c r="F36" s="352" t="n">
        <v>1150</v>
      </c>
      <c r="G36" s="352" t="n">
        <v>1080</v>
      </c>
      <c r="H36" s="352" t="n">
        <v>1080</v>
      </c>
      <c r="I36" s="353" t="n">
        <v>46181</v>
      </c>
      <c r="J36" s="353" t="n">
        <v>46545</v>
      </c>
      <c r="K36" s="289" t="n"/>
      <c r="L36" s="352" t="n">
        <v>320</v>
      </c>
      <c r="M36" s="289" t="n">
        <v>1</v>
      </c>
      <c r="N36" s="352" t="n">
        <v>10</v>
      </c>
      <c r="O36" s="289" t="inlineStr">
        <is>
          <t>Current/Notice/Vacant Residents</t>
        </is>
      </c>
    </row>
    <row r="37" ht="28.5" customHeight="1" s="234">
      <c r="A37" s="289" t="inlineStr">
        <is>
          <t>B103</t>
        </is>
      </c>
      <c r="B37" s="289" t="inlineStr">
        <is>
          <t>B1</t>
        </is>
      </c>
      <c r="C37" s="289" t="n">
        <v>932</v>
      </c>
      <c r="D37" s="289" t="inlineStr">
        <is>
          <t>R100298</t>
        </is>
      </c>
      <c r="E37" s="289" t="inlineStr">
        <is>
          <t>Alvarez, Victor</t>
        </is>
      </c>
      <c r="F37" s="352" t="n">
        <v>1150</v>
      </c>
      <c r="G37" s="352" t="n">
        <v>1080</v>
      </c>
      <c r="H37" s="352" t="n">
        <v>1080</v>
      </c>
      <c r="I37" s="353" t="n">
        <v>46126</v>
      </c>
      <c r="J37" s="353" t="n">
        <v>46490</v>
      </c>
      <c r="K37" s="289" t="n"/>
      <c r="L37" s="352" t="n">
        <v>0</v>
      </c>
      <c r="M37" s="289" t="n">
        <v>1</v>
      </c>
      <c r="N37" s="352" t="n">
        <v>142</v>
      </c>
      <c r="O37" s="289" t="inlineStr">
        <is>
          <t>Current/Notice/Vacant Residents</t>
        </is>
      </c>
    </row>
    <row r="38" ht="28.5" customHeight="1" s="234">
      <c r="A38" s="289" t="inlineStr">
        <is>
          <t>B104</t>
        </is>
      </c>
      <c r="B38" s="289" t="inlineStr">
        <is>
          <t>A1</t>
        </is>
      </c>
      <c r="C38" s="289" t="n">
        <v>712</v>
      </c>
      <c r="D38" s="289" t="n"/>
      <c r="E38" s="289" t="n"/>
      <c r="F38" s="352" t="n">
        <v>975</v>
      </c>
      <c r="G38" s="352" t="n">
        <v>0</v>
      </c>
      <c r="H38" s="352" t="n">
        <v>0</v>
      </c>
      <c r="I38" s="289" t="n"/>
      <c r="J38" s="289" t="n"/>
      <c r="K38" s="353" t="n">
        <v>46279</v>
      </c>
      <c r="L38" s="352" t="n">
        <v>0</v>
      </c>
      <c r="M38" s="289" t="n">
        <v>0</v>
      </c>
      <c r="N38" s="352" t="n">
        <v>52</v>
      </c>
      <c r="O38" s="289" t="inlineStr">
        <is>
          <t>Current/Notice/Vacant Residents</t>
        </is>
      </c>
    </row>
    <row r="39">
      <c r="A39" s="289" t="inlineStr">
        <is>
          <t>B201</t>
        </is>
      </c>
      <c r="B39" s="289" t="inlineStr">
        <is>
          <t>B1</t>
        </is>
      </c>
      <c r="C39" s="289" t="n">
        <v>918</v>
      </c>
      <c r="D39" s="289" t="inlineStr">
        <is>
          <t>R100312</t>
        </is>
      </c>
      <c r="E39" s="289" t="inlineStr">
        <is>
          <t>Iverson, Hannah</t>
        </is>
      </c>
      <c r="F39" s="352" t="n">
        <v>1150</v>
      </c>
      <c r="G39" s="352" t="n">
        <v>1150</v>
      </c>
      <c r="H39" s="352" t="n">
        <v>1150</v>
      </c>
      <c r="I39" s="353" t="n">
        <v>45973</v>
      </c>
      <c r="J39" s="353" t="n">
        <v>46337</v>
      </c>
      <c r="K39" s="289" t="n"/>
      <c r="L39" s="352" t="n">
        <v>320</v>
      </c>
      <c r="M39" s="289" t="n">
        <v>1</v>
      </c>
      <c r="N39" s="352" t="n">
        <v>1674</v>
      </c>
      <c r="O39" s="289" t="inlineStr">
        <is>
          <t>Current/Notice/Vacant Residents</t>
        </is>
      </c>
    </row>
    <row r="40" ht="28.5" customHeight="1" s="234">
      <c r="A40" s="289" t="inlineStr">
        <is>
          <t>B202</t>
        </is>
      </c>
      <c r="B40" s="289" t="inlineStr">
        <is>
          <t>A1</t>
        </is>
      </c>
      <c r="C40" s="289" t="n">
        <v>712</v>
      </c>
      <c r="D40" s="289" t="inlineStr">
        <is>
          <t>R100319</t>
        </is>
      </c>
      <c r="E40" s="289" t="inlineStr">
        <is>
          <t>Castellano, Felix</t>
        </is>
      </c>
      <c r="F40" s="352" t="n">
        <v>975</v>
      </c>
      <c r="G40" s="352" t="n">
        <v>975</v>
      </c>
      <c r="H40" s="352" t="n">
        <v>975</v>
      </c>
      <c r="I40" s="353" t="n">
        <v>45313</v>
      </c>
      <c r="J40" s="353" t="n">
        <v>46407</v>
      </c>
      <c r="K40" s="289" t="n"/>
      <c r="L40" s="352" t="n">
        <v>0</v>
      </c>
      <c r="M40" s="289" t="n">
        <v>1</v>
      </c>
      <c r="N40" s="352" t="n">
        <v>-77</v>
      </c>
      <c r="O40" s="289" t="inlineStr">
        <is>
          <t>Current/Notice/Vacant Residents</t>
        </is>
      </c>
    </row>
    <row r="41" ht="28.5" customHeight="1" s="234">
      <c r="A41" s="289" t="inlineStr">
        <is>
          <t>B203</t>
        </is>
      </c>
      <c r="B41" s="289" t="inlineStr">
        <is>
          <t>A1</t>
        </is>
      </c>
      <c r="C41" s="289" t="n">
        <v>720</v>
      </c>
      <c r="D41" s="289" t="inlineStr">
        <is>
          <t>R100326</t>
        </is>
      </c>
      <c r="E41" s="289" t="inlineStr">
        <is>
          <t>Mbeki, Luis</t>
        </is>
      </c>
      <c r="F41" s="352" t="n">
        <v>975</v>
      </c>
      <c r="G41" s="352" t="n">
        <v>945</v>
      </c>
      <c r="H41" s="352" t="n">
        <v>945</v>
      </c>
      <c r="I41" s="353" t="n">
        <v>45688</v>
      </c>
      <c r="J41" s="353" t="n">
        <v>46417</v>
      </c>
      <c r="K41" s="289" t="n"/>
      <c r="L41" s="352" t="n">
        <v>0</v>
      </c>
      <c r="M41" s="289" t="n">
        <v>1</v>
      </c>
      <c r="N41" s="352" t="n">
        <v>-23</v>
      </c>
      <c r="O41" s="289" t="inlineStr">
        <is>
          <t>Current/Notice/Vacant Residents</t>
        </is>
      </c>
    </row>
    <row r="42" ht="28.5" customHeight="1" s="234">
      <c r="A42" s="289" t="inlineStr">
        <is>
          <t>B204</t>
        </is>
      </c>
      <c r="B42" s="289" t="inlineStr">
        <is>
          <t>B1</t>
        </is>
      </c>
      <c r="C42" s="289" t="n">
        <v>932</v>
      </c>
      <c r="D42" s="289" t="inlineStr">
        <is>
          <t>R100333</t>
        </is>
      </c>
      <c r="E42" s="289" t="inlineStr">
        <is>
          <t>Ellison, Sofia</t>
        </is>
      </c>
      <c r="F42" s="352" t="n">
        <v>1155</v>
      </c>
      <c r="G42" s="352" t="n">
        <v>1120</v>
      </c>
      <c r="H42" s="352" t="n">
        <v>1120</v>
      </c>
      <c r="I42" s="353" t="n">
        <v>45382</v>
      </c>
      <c r="J42" s="353" t="n">
        <v>46476</v>
      </c>
      <c r="K42" s="289" t="n"/>
      <c r="L42" s="352" t="n">
        <v>0</v>
      </c>
      <c r="M42" s="289" t="n">
        <v>1</v>
      </c>
      <c r="N42" s="352" t="n">
        <v>0</v>
      </c>
      <c r="O42" s="289" t="inlineStr">
        <is>
          <t>Current/Notice/Vacant Residents</t>
        </is>
      </c>
    </row>
    <row r="43" ht="28.5" customHeight="1" s="234">
      <c r="A43" s="289" t="inlineStr">
        <is>
          <t>B301</t>
        </is>
      </c>
      <c r="B43" s="289" t="inlineStr">
        <is>
          <t>A1</t>
        </is>
      </c>
      <c r="C43" s="289" t="n">
        <v>720</v>
      </c>
      <c r="D43" s="289" t="inlineStr">
        <is>
          <t>R100340</t>
        </is>
      </c>
      <c r="E43" s="289" t="inlineStr">
        <is>
          <t>Hawkins, Mei</t>
        </is>
      </c>
      <c r="F43" s="352" t="n">
        <v>965</v>
      </c>
      <c r="G43" s="352" t="n">
        <v>905</v>
      </c>
      <c r="H43" s="352" t="n">
        <v>905</v>
      </c>
      <c r="I43" s="353" t="n">
        <v>45411</v>
      </c>
      <c r="J43" s="353" t="n">
        <v>46505</v>
      </c>
      <c r="K43" s="289" t="n"/>
      <c r="L43" s="352" t="n">
        <v>0</v>
      </c>
      <c r="M43" s="289" t="n">
        <v>1</v>
      </c>
      <c r="N43" s="352" t="n">
        <v>25</v>
      </c>
      <c r="O43" s="289" t="inlineStr">
        <is>
          <t>Current/Notice/Vacant Residents</t>
        </is>
      </c>
    </row>
    <row r="44" ht="28.5" customHeight="1" s="234">
      <c r="A44" s="289" t="inlineStr">
        <is>
          <t>B302</t>
        </is>
      </c>
      <c r="B44" s="289" t="inlineStr">
        <is>
          <t>A1</t>
        </is>
      </c>
      <c r="C44" s="289" t="n">
        <v>712</v>
      </c>
      <c r="D44" s="289" t="inlineStr">
        <is>
          <t>R100347</t>
        </is>
      </c>
      <c r="E44" s="289" t="inlineStr">
        <is>
          <t>Kowalski, Marcus</t>
        </is>
      </c>
      <c r="F44" s="352" t="n">
        <v>975</v>
      </c>
      <c r="G44" s="352" t="n">
        <v>975</v>
      </c>
      <c r="H44" s="352" t="n">
        <v>975</v>
      </c>
      <c r="I44" s="353" t="n">
        <v>46091</v>
      </c>
      <c r="J44" s="353" t="n">
        <v>46455</v>
      </c>
      <c r="K44" s="289" t="n"/>
      <c r="L44" s="352" t="n">
        <v>0</v>
      </c>
      <c r="M44" s="289" t="n">
        <v>1</v>
      </c>
      <c r="N44" s="352" t="n">
        <v>87</v>
      </c>
      <c r="O44" s="289" t="inlineStr">
        <is>
          <t>Current/Notice/Vacant Residents</t>
        </is>
      </c>
    </row>
    <row r="45" ht="28.5" customHeight="1" s="234">
      <c r="A45" s="289" t="inlineStr">
        <is>
          <t>B303</t>
        </is>
      </c>
      <c r="B45" s="289" t="inlineStr">
        <is>
          <t>C1</t>
        </is>
      </c>
      <c r="C45" s="289" t="n">
        <v>1204</v>
      </c>
      <c r="D45" s="289" t="inlineStr">
        <is>
          <t>R100354</t>
        </is>
      </c>
      <c r="E45" s="289" t="inlineStr">
        <is>
          <t>Lindqvist, Aaliyah</t>
        </is>
      </c>
      <c r="F45" s="352" t="n">
        <v>1450</v>
      </c>
      <c r="G45" s="352" t="n">
        <v>1390</v>
      </c>
      <c r="H45" s="352" t="n">
        <v>1390</v>
      </c>
      <c r="I45" s="353" t="n">
        <v>46007</v>
      </c>
      <c r="J45" s="353" t="n">
        <v>46371</v>
      </c>
      <c r="K45" s="289" t="n"/>
      <c r="L45" s="352" t="n">
        <v>0</v>
      </c>
      <c r="M45" s="289" t="n">
        <v>1</v>
      </c>
      <c r="N45" s="352" t="n">
        <v>205</v>
      </c>
      <c r="O45" s="289" t="inlineStr">
        <is>
          <t>Current/Notice/Vacant Residents</t>
        </is>
      </c>
    </row>
    <row r="46" ht="28.5" customHeight="1" s="234">
      <c r="A46" s="289" t="inlineStr">
        <is>
          <t>B304</t>
        </is>
      </c>
      <c r="B46" s="289" t="inlineStr">
        <is>
          <t>B2</t>
        </is>
      </c>
      <c r="C46" s="289" t="n">
        <v>1046</v>
      </c>
      <c r="D46" s="289" t="inlineStr">
        <is>
          <t>R100361</t>
        </is>
      </c>
      <c r="E46" s="289" t="inlineStr">
        <is>
          <t>Mbeki, Luis</t>
        </is>
      </c>
      <c r="F46" s="352" t="n">
        <v>1245</v>
      </c>
      <c r="G46" s="352" t="n">
        <v>1120</v>
      </c>
      <c r="H46" s="352" t="n">
        <v>1120</v>
      </c>
      <c r="I46" s="353" t="n">
        <v>45951</v>
      </c>
      <c r="J46" s="353" t="n">
        <v>46315</v>
      </c>
      <c r="K46" s="289" t="n"/>
      <c r="L46" s="352" t="n">
        <v>0</v>
      </c>
      <c r="M46" s="289" t="n">
        <v>1</v>
      </c>
      <c r="N46" s="352" t="n">
        <v>0</v>
      </c>
      <c r="O46" s="289" t="inlineStr">
        <is>
          <t>Current/Notice/Vacant Residents</t>
        </is>
      </c>
    </row>
    <row r="47" ht="28.5" customHeight="1" s="234">
      <c r="A47" s="289" t="inlineStr">
        <is>
          <t>C101</t>
        </is>
      </c>
      <c r="B47" s="289" t="inlineStr">
        <is>
          <t>B2</t>
        </is>
      </c>
      <c r="C47" s="289" t="n">
        <v>1038</v>
      </c>
      <c r="D47" s="289" t="inlineStr">
        <is>
          <t>R100368</t>
        </is>
      </c>
      <c r="E47" s="289" t="inlineStr">
        <is>
          <t>Gutierrez, Rosa</t>
        </is>
      </c>
      <c r="F47" s="352" t="n">
        <v>1255</v>
      </c>
      <c r="G47" s="352" t="n">
        <v>1230</v>
      </c>
      <c r="H47" s="352" t="n">
        <v>1230</v>
      </c>
      <c r="I47" s="353" t="n">
        <v>45488</v>
      </c>
      <c r="J47" s="353" t="n">
        <v>46582</v>
      </c>
      <c r="K47" s="289" t="n"/>
      <c r="L47" s="352" t="n">
        <v>0</v>
      </c>
      <c r="M47" s="289" t="n">
        <v>1</v>
      </c>
      <c r="N47" s="352" t="n">
        <v>-147</v>
      </c>
      <c r="O47" s="289" t="inlineStr">
        <is>
          <t>Current/Notice/Vacant Residents</t>
        </is>
      </c>
    </row>
    <row r="48" ht="28.5" customHeight="1" s="234">
      <c r="A48" s="289" t="inlineStr">
        <is>
          <t>C102</t>
        </is>
      </c>
      <c r="B48" s="289" t="inlineStr">
        <is>
          <t>B1</t>
        </is>
      </c>
      <c r="C48" s="289" t="n">
        <v>932</v>
      </c>
      <c r="D48" s="289" t="inlineStr">
        <is>
          <t>R100375</t>
        </is>
      </c>
      <c r="E48" s="289" t="inlineStr">
        <is>
          <t>Okafor, Owen</t>
        </is>
      </c>
      <c r="F48" s="352" t="n">
        <v>1140</v>
      </c>
      <c r="G48" s="352" t="n">
        <v>1140</v>
      </c>
      <c r="H48" s="352" t="n">
        <v>1140</v>
      </c>
      <c r="I48" s="353" t="n">
        <v>45346</v>
      </c>
      <c r="J48" s="353" t="n">
        <v>46440</v>
      </c>
      <c r="K48" s="289" t="n"/>
      <c r="L48" s="352" t="n">
        <v>0</v>
      </c>
      <c r="M48" s="289" t="n">
        <v>1</v>
      </c>
      <c r="N48" s="352" t="n">
        <v>-5</v>
      </c>
      <c r="O48" s="289" t="inlineStr">
        <is>
          <t>Current/Notice/Vacant Residents</t>
        </is>
      </c>
    </row>
    <row r="49" ht="28.5" customHeight="1" s="234">
      <c r="A49" s="289" t="inlineStr">
        <is>
          <t>C103</t>
        </is>
      </c>
      <c r="B49" s="289" t="inlineStr">
        <is>
          <t>B1</t>
        </is>
      </c>
      <c r="C49" s="289" t="n">
        <v>924</v>
      </c>
      <c r="D49" s="289" t="inlineStr">
        <is>
          <t>R100382</t>
        </is>
      </c>
      <c r="E49" s="289" t="inlineStr">
        <is>
          <t>Dunmore, Ravi</t>
        </is>
      </c>
      <c r="F49" s="352" t="n">
        <v>1160</v>
      </c>
      <c r="G49" s="352" t="n">
        <v>1100</v>
      </c>
      <c r="H49" s="352" t="n">
        <v>1100</v>
      </c>
      <c r="I49" s="353" t="n">
        <v>45674</v>
      </c>
      <c r="J49" s="353" t="n">
        <v>46403</v>
      </c>
      <c r="K49" s="289" t="n"/>
      <c r="L49" s="352" t="n">
        <v>0</v>
      </c>
      <c r="M49" s="289" t="n">
        <v>1</v>
      </c>
      <c r="N49" s="352" t="n">
        <v>-207</v>
      </c>
      <c r="O49" s="289" t="inlineStr">
        <is>
          <t>Current/Notice/Vacant Residents</t>
        </is>
      </c>
    </row>
    <row r="50" ht="28.5" customHeight="1" s="234">
      <c r="A50" s="289" t="inlineStr">
        <is>
          <t>C104</t>
        </is>
      </c>
      <c r="B50" s="289" t="inlineStr">
        <is>
          <t>A1</t>
        </is>
      </c>
      <c r="C50" s="289" t="n">
        <v>720</v>
      </c>
      <c r="D50" s="289" t="inlineStr">
        <is>
          <t>R100389</t>
        </is>
      </c>
      <c r="E50" s="289" t="inlineStr">
        <is>
          <t>Zimmerman, Naomi</t>
        </is>
      </c>
      <c r="F50" s="352" t="n">
        <v>980</v>
      </c>
      <c r="G50" s="352" t="n">
        <v>900</v>
      </c>
      <c r="H50" s="352" t="n">
        <v>900</v>
      </c>
      <c r="I50" s="353" t="n">
        <v>46164</v>
      </c>
      <c r="J50" s="353" t="n">
        <v>46528</v>
      </c>
      <c r="K50" s="289" t="n"/>
      <c r="L50" s="352" t="n">
        <v>75</v>
      </c>
      <c r="M50" s="289" t="n">
        <v>1</v>
      </c>
      <c r="N50" s="352" t="n">
        <v>-18</v>
      </c>
      <c r="O50" s="289" t="inlineStr">
        <is>
          <t>Current/Notice/Vacant Residents</t>
        </is>
      </c>
    </row>
    <row r="51" ht="28.5" customHeight="1" s="234">
      <c r="A51" s="289" t="inlineStr">
        <is>
          <t>C201</t>
        </is>
      </c>
      <c r="B51" s="289" t="inlineStr">
        <is>
          <t>B1</t>
        </is>
      </c>
      <c r="C51" s="289" t="n">
        <v>924</v>
      </c>
      <c r="D51" s="289" t="inlineStr">
        <is>
          <t>R100396</t>
        </is>
      </c>
      <c r="E51" s="289" t="inlineStr">
        <is>
          <t>Rasmussen, Marcus</t>
        </is>
      </c>
      <c r="F51" s="352" t="n">
        <v>1160</v>
      </c>
      <c r="G51" s="352" t="n">
        <v>1100</v>
      </c>
      <c r="H51" s="352" t="n">
        <v>1100</v>
      </c>
      <c r="I51" s="353" t="n">
        <v>45323</v>
      </c>
      <c r="J51" s="353" t="n">
        <v>46417</v>
      </c>
      <c r="K51" s="289" t="n"/>
      <c r="L51" s="352" t="n">
        <v>640</v>
      </c>
      <c r="M51" s="289" t="n">
        <v>1</v>
      </c>
      <c r="N51" s="352" t="n">
        <v>75</v>
      </c>
      <c r="O51" s="289" t="inlineStr">
        <is>
          <t>Current/Notice/Vacant Residents</t>
        </is>
      </c>
    </row>
    <row r="52" ht="28.5" customHeight="1" s="234">
      <c r="A52" s="289" t="inlineStr">
        <is>
          <t>C202</t>
        </is>
      </c>
      <c r="B52" s="289" t="inlineStr">
        <is>
          <t>B1</t>
        </is>
      </c>
      <c r="C52" s="289" t="n">
        <v>932</v>
      </c>
      <c r="D52" s="289" t="inlineStr">
        <is>
          <t>R100403</t>
        </is>
      </c>
      <c r="E52" s="289" t="inlineStr">
        <is>
          <t>Banerjee, Priya</t>
        </is>
      </c>
      <c r="F52" s="352" t="n">
        <v>1150</v>
      </c>
      <c r="G52" s="352" t="n">
        <v>1150</v>
      </c>
      <c r="H52" s="352" t="n">
        <v>1150</v>
      </c>
      <c r="I52" s="353" t="n">
        <v>46143</v>
      </c>
      <c r="J52" s="353" t="n">
        <v>46507</v>
      </c>
      <c r="K52" s="289" t="n"/>
      <c r="L52" s="352" t="n">
        <v>0</v>
      </c>
      <c r="M52" s="289" t="n">
        <v>1</v>
      </c>
      <c r="N52" s="352" t="n">
        <v>-196</v>
      </c>
      <c r="O52" s="289" t="inlineStr">
        <is>
          <t>Current/Notice/Vacant Residents</t>
        </is>
      </c>
    </row>
    <row r="53" ht="28.5" customHeight="1" s="234">
      <c r="A53" s="289" t="inlineStr">
        <is>
          <t>C203</t>
        </is>
      </c>
      <c r="B53" s="289" t="inlineStr">
        <is>
          <t>B1</t>
        </is>
      </c>
      <c r="C53" s="289" t="n">
        <v>924</v>
      </c>
      <c r="D53" s="289" t="inlineStr">
        <is>
          <t>R100410</t>
        </is>
      </c>
      <c r="E53" s="289" t="inlineStr">
        <is>
          <t>Brennan, Devon</t>
        </is>
      </c>
      <c r="F53" s="352" t="n">
        <v>1150</v>
      </c>
      <c r="G53" s="352" t="n">
        <v>1060</v>
      </c>
      <c r="H53" s="352" t="n">
        <v>1060</v>
      </c>
      <c r="I53" s="353" t="n">
        <v>45276</v>
      </c>
      <c r="J53" s="353" t="n">
        <v>46370</v>
      </c>
      <c r="K53" s="289" t="n"/>
      <c r="L53" s="352" t="n">
        <v>0</v>
      </c>
      <c r="M53" s="289" t="n">
        <v>1</v>
      </c>
      <c r="N53" s="352" t="n">
        <v>23</v>
      </c>
      <c r="O53" s="289" t="inlineStr">
        <is>
          <t>Current/Notice/Vacant Residents</t>
        </is>
      </c>
    </row>
    <row r="54" ht="28.5" customHeight="1" s="234">
      <c r="A54" s="289" t="inlineStr">
        <is>
          <t>C204</t>
        </is>
      </c>
      <c r="B54" s="289" t="inlineStr">
        <is>
          <t>A1</t>
        </is>
      </c>
      <c r="C54" s="289" t="n">
        <v>720</v>
      </c>
      <c r="D54" s="289" t="inlineStr">
        <is>
          <t>R100417</t>
        </is>
      </c>
      <c r="E54" s="289" t="inlineStr">
        <is>
          <t>Thatcher, Leah</t>
        </is>
      </c>
      <c r="F54" s="352" t="n">
        <v>965</v>
      </c>
      <c r="G54" s="352" t="n">
        <v>905</v>
      </c>
      <c r="H54" s="352" t="n">
        <v>905</v>
      </c>
      <c r="I54" s="353" t="n">
        <v>45265</v>
      </c>
      <c r="J54" s="353" t="n">
        <v>46359</v>
      </c>
      <c r="K54" s="289" t="n"/>
      <c r="L54" s="352" t="n">
        <v>0</v>
      </c>
      <c r="M54" s="289" t="n">
        <v>1</v>
      </c>
      <c r="N54" s="352" t="n">
        <v>-17</v>
      </c>
      <c r="O54" s="289" t="inlineStr">
        <is>
          <t>Current/Notice/Vacant Residents</t>
        </is>
      </c>
    </row>
    <row r="55" ht="28.5" customHeight="1" s="234">
      <c r="A55" s="289" t="inlineStr">
        <is>
          <t>C301</t>
        </is>
      </c>
      <c r="B55" s="289" t="inlineStr">
        <is>
          <t>A1</t>
        </is>
      </c>
      <c r="C55" s="289" t="n">
        <v>712</v>
      </c>
      <c r="D55" s="289" t="inlineStr">
        <is>
          <t>R100424</t>
        </is>
      </c>
      <c r="E55" s="289" t="inlineStr">
        <is>
          <t>Yoder, Andre</t>
        </is>
      </c>
      <c r="F55" s="352" t="n">
        <v>985</v>
      </c>
      <c r="G55" s="352" t="n">
        <v>925</v>
      </c>
      <c r="H55" s="352" t="n">
        <v>925</v>
      </c>
      <c r="I55" s="353" t="n">
        <v>45535</v>
      </c>
      <c r="J55" s="353" t="n">
        <v>46629</v>
      </c>
      <c r="K55" s="289" t="n"/>
      <c r="L55" s="352" t="n">
        <v>320</v>
      </c>
      <c r="M55" s="289" t="n">
        <v>1</v>
      </c>
      <c r="N55" s="352" t="n">
        <v>-123</v>
      </c>
      <c r="O55" s="289" t="inlineStr">
        <is>
          <t>Current/Notice/Vacant Residents</t>
        </is>
      </c>
    </row>
    <row r="56" ht="28.5" customHeight="1" s="234">
      <c r="A56" s="289" t="inlineStr">
        <is>
          <t>C302</t>
        </is>
      </c>
      <c r="B56" s="289" t="inlineStr">
        <is>
          <t>B1</t>
        </is>
      </c>
      <c r="C56" s="289" t="n">
        <v>924</v>
      </c>
      <c r="D56" s="289" t="inlineStr">
        <is>
          <t>R100431</t>
        </is>
      </c>
      <c r="E56" s="289" t="inlineStr">
        <is>
          <t>Yoder, Naomi</t>
        </is>
      </c>
      <c r="F56" s="352" t="n">
        <v>1150</v>
      </c>
      <c r="G56" s="352" t="n">
        <v>1125</v>
      </c>
      <c r="H56" s="352" t="n">
        <v>1125</v>
      </c>
      <c r="I56" s="353" t="n">
        <v>45894</v>
      </c>
      <c r="J56" s="353" t="n">
        <v>46623</v>
      </c>
      <c r="K56" s="289" t="n"/>
      <c r="L56" s="352" t="n">
        <v>0</v>
      </c>
      <c r="M56" s="289" t="n">
        <v>1</v>
      </c>
      <c r="N56" s="352" t="n">
        <v>-43</v>
      </c>
      <c r="O56" s="289" t="inlineStr">
        <is>
          <t>Current/Notice/Vacant Residents</t>
        </is>
      </c>
    </row>
    <row r="57" ht="28.5" customHeight="1" s="234">
      <c r="A57" s="289" t="inlineStr">
        <is>
          <t>C303</t>
        </is>
      </c>
      <c r="B57" s="289" t="inlineStr">
        <is>
          <t>B2</t>
        </is>
      </c>
      <c r="C57" s="289" t="n">
        <v>1038</v>
      </c>
      <c r="D57" s="289" t="inlineStr">
        <is>
          <t>R100438</t>
        </is>
      </c>
      <c r="E57" s="289" t="inlineStr">
        <is>
          <t>Abernathy, Yolanda</t>
        </is>
      </c>
      <c r="F57" s="352" t="n">
        <v>1250</v>
      </c>
      <c r="G57" s="352" t="n">
        <v>1175</v>
      </c>
      <c r="H57" s="352" t="n">
        <v>1175</v>
      </c>
      <c r="I57" s="353" t="n">
        <v>45396</v>
      </c>
      <c r="J57" s="353" t="n">
        <v>46490</v>
      </c>
      <c r="K57" s="289" t="n"/>
      <c r="L57" s="352" t="n">
        <v>0</v>
      </c>
      <c r="M57" s="289" t="n">
        <v>1</v>
      </c>
      <c r="N57" s="352" t="n">
        <v>82</v>
      </c>
      <c r="O57" s="289" t="inlineStr">
        <is>
          <t>Current/Notice/Vacant Residents</t>
        </is>
      </c>
    </row>
    <row r="58" ht="28.5" customHeight="1" s="234">
      <c r="A58" s="289" t="inlineStr">
        <is>
          <t>C304</t>
        </is>
      </c>
      <c r="B58" s="289" t="inlineStr">
        <is>
          <t>C1</t>
        </is>
      </c>
      <c r="C58" s="289" t="n">
        <v>1204</v>
      </c>
      <c r="D58" s="289" t="inlineStr">
        <is>
          <t>R100445</t>
        </is>
      </c>
      <c r="E58" s="289" t="inlineStr">
        <is>
          <t>Dunmore, Walter</t>
        </is>
      </c>
      <c r="F58" s="352" t="n">
        <v>1455</v>
      </c>
      <c r="G58" s="352" t="n">
        <v>1370</v>
      </c>
      <c r="H58" s="352" t="n">
        <v>1370</v>
      </c>
      <c r="I58" s="353" t="n">
        <v>45644</v>
      </c>
      <c r="J58" s="353" t="n">
        <v>46373</v>
      </c>
      <c r="K58" s="289" t="n"/>
      <c r="L58" s="352" t="n">
        <v>35</v>
      </c>
      <c r="M58" s="289" t="n">
        <v>1</v>
      </c>
      <c r="N58" s="352" t="n">
        <v>-26</v>
      </c>
      <c r="O58" s="289" t="inlineStr">
        <is>
          <t>Current/Notice/Vacant Residents</t>
        </is>
      </c>
    </row>
    <row r="59" ht="28.5" customHeight="1" s="234">
      <c r="A59" s="289" t="inlineStr">
        <is>
          <t>D101</t>
        </is>
      </c>
      <c r="B59" s="289" t="inlineStr">
        <is>
          <t>A1</t>
        </is>
      </c>
      <c r="C59" s="289" t="n">
        <v>712</v>
      </c>
      <c r="D59" s="289" t="inlineStr">
        <is>
          <t>R100452</t>
        </is>
      </c>
      <c r="E59" s="289" t="inlineStr">
        <is>
          <t>Rasmussen, Aaliyah</t>
        </is>
      </c>
      <c r="F59" s="352" t="n">
        <v>965</v>
      </c>
      <c r="G59" s="352" t="n">
        <v>965</v>
      </c>
      <c r="H59" s="352" t="n">
        <v>965</v>
      </c>
      <c r="I59" s="353" t="n">
        <v>45976</v>
      </c>
      <c r="J59" s="353" t="n">
        <v>46340</v>
      </c>
      <c r="K59" s="289" t="n"/>
      <c r="L59" s="352" t="n">
        <v>0</v>
      </c>
      <c r="M59" s="289" t="n">
        <v>1</v>
      </c>
      <c r="N59" s="352" t="n">
        <v>-112</v>
      </c>
      <c r="O59" s="289" t="inlineStr">
        <is>
          <t>Current/Notice/Vacant Residents</t>
        </is>
      </c>
    </row>
    <row r="60" ht="28.5" customHeight="1" s="234">
      <c r="A60" s="289" t="inlineStr">
        <is>
          <t>D102</t>
        </is>
      </c>
      <c r="B60" s="289" t="inlineStr">
        <is>
          <t>A1</t>
        </is>
      </c>
      <c r="C60" s="289" t="n">
        <v>706</v>
      </c>
      <c r="D60" s="289" t="inlineStr">
        <is>
          <t>R100459</t>
        </is>
      </c>
      <c r="E60" s="289" t="inlineStr">
        <is>
          <t>Banerjee, Camila</t>
        </is>
      </c>
      <c r="F60" s="352" t="n">
        <v>980</v>
      </c>
      <c r="G60" s="352" t="n">
        <v>940</v>
      </c>
      <c r="H60" s="352" t="n">
        <v>940</v>
      </c>
      <c r="I60" s="353" t="n">
        <v>45977</v>
      </c>
      <c r="J60" s="353" t="n">
        <v>46341</v>
      </c>
      <c r="K60" s="289" t="n"/>
      <c r="L60" s="352" t="n">
        <v>35</v>
      </c>
      <c r="M60" s="289" t="n">
        <v>1</v>
      </c>
      <c r="N60" s="352" t="n">
        <v>45</v>
      </c>
      <c r="O60" s="289" t="inlineStr">
        <is>
          <t>Current/Notice/Vacant Residents</t>
        </is>
      </c>
    </row>
    <row r="61" ht="28.5" customHeight="1" s="234">
      <c r="A61" s="289" t="inlineStr">
        <is>
          <t>D103</t>
        </is>
      </c>
      <c r="B61" s="289" t="inlineStr">
        <is>
          <t>B1</t>
        </is>
      </c>
      <c r="C61" s="289" t="n">
        <v>924</v>
      </c>
      <c r="D61" s="289" t="inlineStr">
        <is>
          <t>R100466</t>
        </is>
      </c>
      <c r="E61" s="289" t="inlineStr">
        <is>
          <t>Dunmore, Rosa</t>
        </is>
      </c>
      <c r="F61" s="352" t="n">
        <v>1160</v>
      </c>
      <c r="G61" s="352" t="n">
        <v>1065</v>
      </c>
      <c r="H61" s="352" t="n">
        <v>1065</v>
      </c>
      <c r="I61" s="353" t="n">
        <v>46054</v>
      </c>
      <c r="J61" s="353" t="n">
        <v>46418</v>
      </c>
      <c r="K61" s="289" t="n"/>
      <c r="L61" s="352" t="n">
        <v>0</v>
      </c>
      <c r="M61" s="289" t="n">
        <v>1</v>
      </c>
      <c r="N61" s="352" t="n">
        <v>-23</v>
      </c>
      <c r="O61" s="289" t="inlineStr">
        <is>
          <t>Current/Notice/Vacant Residents</t>
        </is>
      </c>
    </row>
    <row r="62" ht="28.5" customHeight="1" s="234">
      <c r="A62" s="289" t="inlineStr">
        <is>
          <t>D104</t>
        </is>
      </c>
      <c r="B62" s="289" t="inlineStr">
        <is>
          <t>A1</t>
        </is>
      </c>
      <c r="C62" s="289" t="n">
        <v>720</v>
      </c>
      <c r="D62" s="289" t="inlineStr">
        <is>
          <t>R100473</t>
        </is>
      </c>
      <c r="E62" s="289" t="inlineStr">
        <is>
          <t>Alvarez, Felix</t>
        </is>
      </c>
      <c r="F62" s="352" t="n">
        <v>965</v>
      </c>
      <c r="G62" s="352" t="n">
        <v>915</v>
      </c>
      <c r="H62" s="352" t="n">
        <v>915</v>
      </c>
      <c r="I62" s="353" t="n">
        <v>45424</v>
      </c>
      <c r="J62" s="353" t="n">
        <v>46518</v>
      </c>
      <c r="K62" s="289" t="n"/>
      <c r="L62" s="352" t="n">
        <v>75</v>
      </c>
      <c r="M62" s="289" t="n">
        <v>1</v>
      </c>
      <c r="N62" s="352" t="n">
        <v>-3</v>
      </c>
      <c r="O62" s="289" t="inlineStr">
        <is>
          <t>Current/Notice/Vacant Residents</t>
        </is>
      </c>
    </row>
    <row r="63" ht="28.5" customHeight="1" s="234">
      <c r="A63" s="289" t="inlineStr">
        <is>
          <t>D201</t>
        </is>
      </c>
      <c r="B63" s="289" t="inlineStr">
        <is>
          <t>B1</t>
        </is>
      </c>
      <c r="C63" s="289" t="n">
        <v>918</v>
      </c>
      <c r="D63" s="289" t="inlineStr">
        <is>
          <t>R100480</t>
        </is>
      </c>
      <c r="E63" s="289" t="inlineStr">
        <is>
          <t>Banerjee, Tyrone</t>
        </is>
      </c>
      <c r="F63" s="352" t="n">
        <v>1155</v>
      </c>
      <c r="G63" s="352" t="n">
        <v>1155</v>
      </c>
      <c r="H63" s="352" t="n">
        <v>1155</v>
      </c>
      <c r="I63" s="353" t="n">
        <v>45215</v>
      </c>
      <c r="J63" s="353" t="n">
        <v>46674</v>
      </c>
      <c r="K63" s="289" t="n"/>
      <c r="L63" s="352" t="n">
        <v>0</v>
      </c>
      <c r="M63" s="289" t="n">
        <v>1</v>
      </c>
      <c r="N63" s="352" t="n">
        <v>95</v>
      </c>
      <c r="O63" s="289" t="inlineStr">
        <is>
          <t>Current/Notice/Vacant Residents</t>
        </is>
      </c>
    </row>
    <row r="64">
      <c r="A64" s="289" t="inlineStr">
        <is>
          <t>D202</t>
        </is>
      </c>
      <c r="B64" s="289" t="inlineStr">
        <is>
          <t>B2</t>
        </is>
      </c>
      <c r="C64" s="289" t="n">
        <v>1038</v>
      </c>
      <c r="D64" s="289" t="inlineStr">
        <is>
          <t>R100487</t>
        </is>
      </c>
      <c r="E64" s="289" t="inlineStr">
        <is>
          <t>Rasmussen, Zane</t>
        </is>
      </c>
      <c r="F64" s="352" t="n">
        <v>1245</v>
      </c>
      <c r="G64" s="352" t="n">
        <v>1245</v>
      </c>
      <c r="H64" s="352" t="n">
        <v>1245</v>
      </c>
      <c r="I64" s="353" t="n">
        <v>46188</v>
      </c>
      <c r="J64" s="353" t="n">
        <v>46552</v>
      </c>
      <c r="K64" s="289" t="n"/>
      <c r="L64" s="352" t="n">
        <v>75</v>
      </c>
      <c r="M64" s="289" t="n">
        <v>1</v>
      </c>
      <c r="N64" s="352" t="n">
        <v>1674</v>
      </c>
      <c r="O64" s="289" t="inlineStr">
        <is>
          <t>Current/Notice/Vacant Residents</t>
        </is>
      </c>
    </row>
    <row r="65" ht="28.5" customHeight="1" s="234">
      <c r="A65" s="289" t="inlineStr">
        <is>
          <t>D203</t>
        </is>
      </c>
      <c r="B65" s="289" t="inlineStr">
        <is>
          <t>C1</t>
        </is>
      </c>
      <c r="C65" s="289" t="n">
        <v>1198</v>
      </c>
      <c r="D65" s="289" t="inlineStr">
        <is>
          <t>R100494</t>
        </is>
      </c>
      <c r="E65" s="289" t="inlineStr">
        <is>
          <t>Lindqvist, Camila</t>
        </is>
      </c>
      <c r="F65" s="352" t="n">
        <v>1460</v>
      </c>
      <c r="G65" s="352" t="n">
        <v>1385</v>
      </c>
      <c r="H65" s="352" t="n">
        <v>1385</v>
      </c>
      <c r="I65" s="353" t="n">
        <v>45663</v>
      </c>
      <c r="J65" s="353" t="n">
        <v>46392</v>
      </c>
      <c r="K65" s="289" t="n"/>
      <c r="L65" s="352" t="n">
        <v>0</v>
      </c>
      <c r="M65" s="289" t="n">
        <v>1</v>
      </c>
      <c r="N65" s="352" t="n">
        <v>-32</v>
      </c>
      <c r="O65" s="289" t="inlineStr">
        <is>
          <t>Current/Notice/Vacant Residents</t>
        </is>
      </c>
    </row>
    <row r="66" ht="28.5" customHeight="1" s="234">
      <c r="A66" s="289" t="inlineStr">
        <is>
          <t>D204</t>
        </is>
      </c>
      <c r="B66" s="289" t="inlineStr">
        <is>
          <t>B2</t>
        </is>
      </c>
      <c r="C66" s="289" t="n">
        <v>1038</v>
      </c>
      <c r="D66" s="289" t="inlineStr">
        <is>
          <t>R100501</t>
        </is>
      </c>
      <c r="E66" s="289" t="inlineStr">
        <is>
          <t>Abernathy, Andre</t>
        </is>
      </c>
      <c r="F66" s="352" t="n">
        <v>1235</v>
      </c>
      <c r="G66" s="352" t="n">
        <v>1160</v>
      </c>
      <c r="H66" s="352" t="n">
        <v>1160</v>
      </c>
      <c r="I66" s="353" t="n">
        <v>46033</v>
      </c>
      <c r="J66" s="353" t="n">
        <v>46397</v>
      </c>
      <c r="K66" s="289" t="n"/>
      <c r="L66" s="352" t="n">
        <v>0</v>
      </c>
      <c r="M66" s="289" t="n">
        <v>1</v>
      </c>
      <c r="N66" s="352" t="n">
        <v>112</v>
      </c>
      <c r="O66" s="289" t="inlineStr">
        <is>
          <t>Current/Notice/Vacant Residents</t>
        </is>
      </c>
    </row>
    <row r="67" ht="28.5" customHeight="1" s="234">
      <c r="A67" s="289" t="inlineStr">
        <is>
          <t>D301</t>
        </is>
      </c>
      <c r="B67" s="289" t="inlineStr">
        <is>
          <t>A1</t>
        </is>
      </c>
      <c r="C67" s="289" t="n">
        <v>712</v>
      </c>
      <c r="D67" s="289" t="inlineStr">
        <is>
          <t>R100508</t>
        </is>
      </c>
      <c r="E67" s="289" t="inlineStr">
        <is>
          <t>Alvarez, Owen</t>
        </is>
      </c>
      <c r="F67" s="352" t="n">
        <v>985</v>
      </c>
      <c r="G67" s="352" t="n">
        <v>935</v>
      </c>
      <c r="H67" s="352" t="n">
        <v>935</v>
      </c>
      <c r="I67" s="353" t="n">
        <v>45272</v>
      </c>
      <c r="J67" s="353" t="n">
        <v>46366</v>
      </c>
      <c r="K67" s="289" t="n"/>
      <c r="L67" s="352" t="n">
        <v>320</v>
      </c>
      <c r="M67" s="289" t="n">
        <v>1</v>
      </c>
      <c r="N67" s="352" t="n">
        <v>-5</v>
      </c>
      <c r="O67" s="289" t="inlineStr">
        <is>
          <t>Current/Notice/Vacant Residents</t>
        </is>
      </c>
    </row>
    <row r="68" ht="28.5" customHeight="1" s="234">
      <c r="A68" s="289" t="inlineStr">
        <is>
          <t>D302</t>
        </is>
      </c>
      <c r="B68" s="289" t="inlineStr">
        <is>
          <t>A1</t>
        </is>
      </c>
      <c r="C68" s="289" t="n">
        <v>712</v>
      </c>
      <c r="D68" s="289" t="inlineStr">
        <is>
          <t>R100515</t>
        </is>
      </c>
      <c r="E68" s="289" t="inlineStr">
        <is>
          <t>Gutierrez, Camila</t>
        </is>
      </c>
      <c r="F68" s="352" t="n">
        <v>985</v>
      </c>
      <c r="G68" s="352" t="n">
        <v>945</v>
      </c>
      <c r="H68" s="352" t="n">
        <v>945</v>
      </c>
      <c r="I68" s="353" t="n">
        <v>46240</v>
      </c>
      <c r="J68" s="353" t="n">
        <v>46604</v>
      </c>
      <c r="K68" s="289" t="n"/>
      <c r="L68" s="352" t="n">
        <v>0</v>
      </c>
      <c r="M68" s="289" t="n">
        <v>1</v>
      </c>
      <c r="N68" s="352" t="n">
        <v>24</v>
      </c>
      <c r="O68" s="289" t="inlineStr">
        <is>
          <t>Current/Notice/Vacant Residents</t>
        </is>
      </c>
    </row>
    <row r="69">
      <c r="A69" s="289" t="inlineStr">
        <is>
          <t>D303</t>
        </is>
      </c>
      <c r="B69" s="289" t="inlineStr">
        <is>
          <t>B1</t>
        </is>
      </c>
      <c r="C69" s="289" t="n">
        <v>932</v>
      </c>
      <c r="D69" s="289" t="inlineStr">
        <is>
          <t>R100522</t>
        </is>
      </c>
      <c r="E69" s="289" t="inlineStr">
        <is>
          <t>Gutierrez, Luis</t>
        </is>
      </c>
      <c r="F69" s="352" t="n">
        <v>1150</v>
      </c>
      <c r="G69" s="352" t="n">
        <v>1150</v>
      </c>
      <c r="H69" s="352" t="n">
        <v>1150</v>
      </c>
      <c r="I69" s="353" t="n">
        <v>45984</v>
      </c>
      <c r="J69" s="353" t="n">
        <v>46348</v>
      </c>
      <c r="K69" s="289" t="n"/>
      <c r="L69" s="352" t="n">
        <v>0</v>
      </c>
      <c r="M69" s="289" t="n">
        <v>1</v>
      </c>
      <c r="N69" s="352" t="n">
        <v>1893</v>
      </c>
      <c r="O69" s="289" t="inlineStr">
        <is>
          <t>Current/Notice/Vacant Residents</t>
        </is>
      </c>
    </row>
    <row r="70" ht="28.5" customHeight="1" s="234">
      <c r="A70" s="289" t="inlineStr">
        <is>
          <t>D304</t>
        </is>
      </c>
      <c r="B70" s="289" t="inlineStr">
        <is>
          <t>A1</t>
        </is>
      </c>
      <c r="C70" s="289" t="n">
        <v>720</v>
      </c>
      <c r="D70" s="289" t="inlineStr">
        <is>
          <t>R100529</t>
        </is>
      </c>
      <c r="E70" s="289" t="inlineStr">
        <is>
          <t>Espinoza, Bridget</t>
        </is>
      </c>
      <c r="F70" s="352" t="n">
        <v>975</v>
      </c>
      <c r="G70" s="352" t="n">
        <v>945</v>
      </c>
      <c r="H70" s="352" t="n">
        <v>945</v>
      </c>
      <c r="I70" s="353" t="n">
        <v>46159</v>
      </c>
      <c r="J70" s="353" t="n">
        <v>46523</v>
      </c>
      <c r="K70" s="289" t="n"/>
      <c r="L70" s="352" t="n">
        <v>0</v>
      </c>
      <c r="M70" s="289" t="n">
        <v>1</v>
      </c>
      <c r="N70" s="352" t="n">
        <v>-605</v>
      </c>
      <c r="O70" s="289" t="inlineStr">
        <is>
          <t>Current/Notice/Vacant Residents</t>
        </is>
      </c>
    </row>
    <row r="71" ht="28.5" customHeight="1" s="234">
      <c r="A71" s="289" t="inlineStr">
        <is>
          <t>E101</t>
        </is>
      </c>
      <c r="B71" s="289" t="inlineStr">
        <is>
          <t>B2</t>
        </is>
      </c>
      <c r="C71" s="289" t="n">
        <v>1046</v>
      </c>
      <c r="D71" s="289" t="inlineStr">
        <is>
          <t>R100536</t>
        </is>
      </c>
      <c r="E71" s="289" t="inlineStr">
        <is>
          <t>Zimmerman, Yolanda</t>
        </is>
      </c>
      <c r="F71" s="352" t="n">
        <v>1235</v>
      </c>
      <c r="G71" s="352" t="n">
        <v>1210</v>
      </c>
      <c r="H71" s="352" t="n">
        <v>1210</v>
      </c>
      <c r="I71" s="353" t="n">
        <v>45968</v>
      </c>
      <c r="J71" s="353" t="n">
        <v>46332</v>
      </c>
      <c r="K71" s="289" t="n"/>
      <c r="L71" s="352" t="n">
        <v>0</v>
      </c>
      <c r="M71" s="289" t="n">
        <v>1</v>
      </c>
      <c r="N71" s="352" t="n">
        <v>-26</v>
      </c>
      <c r="O71" s="289" t="inlineStr">
        <is>
          <t>Current/Notice/Vacant Residents</t>
        </is>
      </c>
    </row>
    <row r="72" ht="28.5" customHeight="1" s="234">
      <c r="A72" s="289" t="inlineStr">
        <is>
          <t>E102</t>
        </is>
      </c>
      <c r="B72" s="289" t="inlineStr">
        <is>
          <t>A1</t>
        </is>
      </c>
      <c r="C72" s="289" t="n">
        <v>706</v>
      </c>
      <c r="D72" s="289" t="inlineStr">
        <is>
          <t>R100543</t>
        </is>
      </c>
      <c r="E72" s="289" t="inlineStr">
        <is>
          <t>Jernigan, Aaliyah</t>
        </is>
      </c>
      <c r="F72" s="352" t="n">
        <v>975</v>
      </c>
      <c r="G72" s="352" t="n">
        <v>975</v>
      </c>
      <c r="H72" s="352" t="n">
        <v>975</v>
      </c>
      <c r="I72" s="353" t="n">
        <v>45757</v>
      </c>
      <c r="J72" s="353" t="n">
        <v>46486</v>
      </c>
      <c r="K72" s="289" t="n"/>
      <c r="L72" s="352" t="n">
        <v>0</v>
      </c>
      <c r="M72" s="289" t="n">
        <v>1</v>
      </c>
      <c r="N72" s="352" t="n">
        <v>1140</v>
      </c>
      <c r="O72" s="289" t="inlineStr">
        <is>
          <t>Current/Notice/Vacant Residents</t>
        </is>
      </c>
    </row>
    <row r="73" ht="28.5" customHeight="1" s="234">
      <c r="A73" s="289" t="inlineStr">
        <is>
          <t>E103</t>
        </is>
      </c>
      <c r="B73" s="289" t="inlineStr">
        <is>
          <t>A1</t>
        </is>
      </c>
      <c r="C73" s="289" t="n">
        <v>706</v>
      </c>
      <c r="D73" s="289" t="n"/>
      <c r="E73" s="289" t="n"/>
      <c r="F73" s="352" t="n">
        <v>980</v>
      </c>
      <c r="G73" s="352" t="n">
        <v>0</v>
      </c>
      <c r="H73" s="352" t="n">
        <v>0</v>
      </c>
      <c r="I73" s="289" t="n"/>
      <c r="J73" s="289" t="n"/>
      <c r="K73" s="353" t="n">
        <v>46282</v>
      </c>
      <c r="L73" s="352" t="n">
        <v>0</v>
      </c>
      <c r="M73" s="289" t="n">
        <v>0</v>
      </c>
      <c r="N73" s="352" t="n">
        <v>40</v>
      </c>
      <c r="O73" s="289" t="inlineStr">
        <is>
          <t>Current/Notice/Vacant Residents</t>
        </is>
      </c>
    </row>
    <row r="74" ht="28.5" customHeight="1" s="234">
      <c r="A74" s="289" t="inlineStr">
        <is>
          <t>E104</t>
        </is>
      </c>
      <c r="B74" s="289" t="inlineStr">
        <is>
          <t>B1</t>
        </is>
      </c>
      <c r="C74" s="289" t="n">
        <v>918</v>
      </c>
      <c r="D74" s="289" t="inlineStr">
        <is>
          <t>R100557</t>
        </is>
      </c>
      <c r="E74" s="289" t="inlineStr">
        <is>
          <t>Okafor, Aaliyah</t>
        </is>
      </c>
      <c r="F74" s="352" t="n">
        <v>1160</v>
      </c>
      <c r="G74" s="352" t="n">
        <v>1135</v>
      </c>
      <c r="H74" s="352" t="n">
        <v>1135</v>
      </c>
      <c r="I74" s="353" t="n">
        <v>46080</v>
      </c>
      <c r="J74" s="353" t="n">
        <v>46444</v>
      </c>
      <c r="K74" s="289" t="n"/>
      <c r="L74" s="352" t="n">
        <v>150</v>
      </c>
      <c r="M74" s="289" t="n">
        <v>1</v>
      </c>
      <c r="N74" s="352" t="n">
        <v>-9</v>
      </c>
      <c r="O74" s="289" t="inlineStr">
        <is>
          <t>Current/Notice/Vacant Residents</t>
        </is>
      </c>
    </row>
    <row r="75" ht="28.5" customHeight="1" s="234">
      <c r="A75" s="289" t="inlineStr">
        <is>
          <t>E201</t>
        </is>
      </c>
      <c r="B75" s="289" t="inlineStr">
        <is>
          <t>B2</t>
        </is>
      </c>
      <c r="C75" s="289" t="n">
        <v>1038</v>
      </c>
      <c r="D75" s="289" t="inlineStr">
        <is>
          <t>R100564</t>
        </is>
      </c>
      <c r="E75" s="289" t="inlineStr">
        <is>
          <t>Zimmerman, Dante</t>
        </is>
      </c>
      <c r="F75" s="352" t="n">
        <v>1255</v>
      </c>
      <c r="G75" s="352" t="n">
        <v>1155</v>
      </c>
      <c r="H75" s="352" t="n">
        <v>1155</v>
      </c>
      <c r="I75" s="353" t="n">
        <v>45608</v>
      </c>
      <c r="J75" s="353" t="n">
        <v>46337</v>
      </c>
      <c r="K75" s="289" t="n"/>
      <c r="L75" s="352" t="n">
        <v>0</v>
      </c>
      <c r="M75" s="289" t="n">
        <v>1</v>
      </c>
      <c r="N75" s="352" t="n">
        <v>10</v>
      </c>
      <c r="O75" s="289" t="inlineStr">
        <is>
          <t>Current/Notice/Vacant Residents</t>
        </is>
      </c>
    </row>
    <row r="76">
      <c r="A76" s="289" t="inlineStr">
        <is>
          <t>E202</t>
        </is>
      </c>
      <c r="B76" s="289" t="inlineStr">
        <is>
          <t>B2</t>
        </is>
      </c>
      <c r="C76" s="289" t="n">
        <v>1032</v>
      </c>
      <c r="D76" s="289" t="inlineStr">
        <is>
          <t>R100571</t>
        </is>
      </c>
      <c r="E76" s="289" t="inlineStr">
        <is>
          <t>Zimmerman, Jamal</t>
        </is>
      </c>
      <c r="F76" s="352" t="n">
        <v>1245</v>
      </c>
      <c r="G76" s="352" t="n">
        <v>1170</v>
      </c>
      <c r="H76" s="352" t="n">
        <v>1170</v>
      </c>
      <c r="I76" s="353" t="n">
        <v>46172</v>
      </c>
      <c r="J76" s="353" t="n">
        <v>46536</v>
      </c>
      <c r="K76" s="289" t="n"/>
      <c r="L76" s="352" t="n">
        <v>35</v>
      </c>
      <c r="M76" s="289" t="n">
        <v>1</v>
      </c>
      <c r="N76" s="352" t="n">
        <v>1487</v>
      </c>
      <c r="O76" s="289" t="inlineStr">
        <is>
          <t>Current/Notice/Vacant Residents</t>
        </is>
      </c>
    </row>
    <row r="77" ht="28.5" customHeight="1" s="234">
      <c r="A77" s="289" t="inlineStr">
        <is>
          <t>E203</t>
        </is>
      </c>
      <c r="B77" s="289" t="inlineStr">
        <is>
          <t>A1</t>
        </is>
      </c>
      <c r="C77" s="289" t="n">
        <v>712</v>
      </c>
      <c r="D77" s="289" t="n"/>
      <c r="E77" s="289" t="n"/>
      <c r="F77" s="352" t="n">
        <v>965</v>
      </c>
      <c r="G77" s="352" t="n">
        <v>0</v>
      </c>
      <c r="H77" s="352" t="n">
        <v>0</v>
      </c>
      <c r="I77" s="289" t="n"/>
      <c r="J77" s="289" t="n"/>
      <c r="K77" s="353" t="n">
        <v>46286</v>
      </c>
      <c r="L77" s="352" t="n">
        <v>0</v>
      </c>
      <c r="M77" s="289" t="n">
        <v>0</v>
      </c>
      <c r="N77" s="352" t="n">
        <v>5</v>
      </c>
      <c r="O77" s="289" t="inlineStr">
        <is>
          <t>Current/Notice/Vacant Residents</t>
        </is>
      </c>
    </row>
    <row r="78" ht="28.5" customHeight="1" s="234">
      <c r="A78" s="289" t="inlineStr">
        <is>
          <t>E204</t>
        </is>
      </c>
      <c r="B78" s="289" t="inlineStr">
        <is>
          <t>A1</t>
        </is>
      </c>
      <c r="C78" s="289" t="n">
        <v>712</v>
      </c>
      <c r="D78" s="289" t="inlineStr">
        <is>
          <t>R100585</t>
        </is>
      </c>
      <c r="E78" s="289" t="inlineStr">
        <is>
          <t>Yoder, Dante</t>
        </is>
      </c>
      <c r="F78" s="352" t="n">
        <v>980</v>
      </c>
      <c r="G78" s="352" t="n">
        <v>930</v>
      </c>
      <c r="H78" s="352" t="n">
        <v>930</v>
      </c>
      <c r="I78" s="353" t="n">
        <v>45921</v>
      </c>
      <c r="J78" s="353" t="n">
        <v>46650</v>
      </c>
      <c r="K78" s="289" t="n"/>
      <c r="L78" s="352" t="n">
        <v>0</v>
      </c>
      <c r="M78" s="289" t="n">
        <v>1</v>
      </c>
      <c r="N78" s="352" t="n">
        <v>37</v>
      </c>
      <c r="O78" s="289" t="inlineStr">
        <is>
          <t>Current/Notice/Vacant Residents</t>
        </is>
      </c>
    </row>
    <row r="79">
      <c r="A79" s="289" t="inlineStr">
        <is>
          <t>E301</t>
        </is>
      </c>
      <c r="B79" s="289" t="inlineStr">
        <is>
          <t>B1</t>
        </is>
      </c>
      <c r="C79" s="289" t="n">
        <v>918</v>
      </c>
      <c r="D79" s="289" t="inlineStr">
        <is>
          <t>R100592</t>
        </is>
      </c>
      <c r="E79" s="289" t="inlineStr">
        <is>
          <t>Thatcher, Omar</t>
        </is>
      </c>
      <c r="F79" s="352" t="n">
        <v>1155</v>
      </c>
      <c r="G79" s="352" t="n">
        <v>1110</v>
      </c>
      <c r="H79" s="352" t="n">
        <v>1110</v>
      </c>
      <c r="I79" s="353" t="n">
        <v>46200</v>
      </c>
      <c r="J79" s="353" t="n">
        <v>46564</v>
      </c>
      <c r="K79" s="289" t="n"/>
      <c r="L79" s="352" t="n">
        <v>0</v>
      </c>
      <c r="M79" s="289" t="n">
        <v>1</v>
      </c>
      <c r="N79" s="352" t="n">
        <v>1804</v>
      </c>
      <c r="O79" s="289" t="inlineStr">
        <is>
          <t>Current/Notice/Vacant Residents</t>
        </is>
      </c>
    </row>
    <row r="80" ht="28.5" customHeight="1" s="234">
      <c r="A80" s="289" t="inlineStr">
        <is>
          <t>E302</t>
        </is>
      </c>
      <c r="B80" s="289" t="inlineStr">
        <is>
          <t>B1</t>
        </is>
      </c>
      <c r="C80" s="289" t="n">
        <v>924</v>
      </c>
      <c r="D80" s="289" t="inlineStr">
        <is>
          <t>R100599</t>
        </is>
      </c>
      <c r="E80" s="289" t="inlineStr">
        <is>
          <t>Coleman, Tessa</t>
        </is>
      </c>
      <c r="F80" s="352" t="n">
        <v>1150</v>
      </c>
      <c r="G80" s="352" t="n">
        <v>1150</v>
      </c>
      <c r="H80" s="352" t="n">
        <v>1150</v>
      </c>
      <c r="I80" s="353" t="n">
        <v>45211</v>
      </c>
      <c r="J80" s="353" t="n">
        <v>46670</v>
      </c>
      <c r="K80" s="289" t="n"/>
      <c r="L80" s="352" t="n">
        <v>35</v>
      </c>
      <c r="M80" s="289" t="n">
        <v>1</v>
      </c>
      <c r="N80" s="352" t="n">
        <v>-257</v>
      </c>
      <c r="O80" s="289" t="inlineStr">
        <is>
          <t>Current/Notice/Vacant Residents</t>
        </is>
      </c>
    </row>
    <row r="81" ht="28.5" customHeight="1" s="234">
      <c r="A81" s="289" t="inlineStr">
        <is>
          <t>E303</t>
        </is>
      </c>
      <c r="B81" s="289" t="inlineStr">
        <is>
          <t>B1</t>
        </is>
      </c>
      <c r="C81" s="289" t="n">
        <v>924</v>
      </c>
      <c r="D81" s="289" t="inlineStr">
        <is>
          <t>R100606</t>
        </is>
      </c>
      <c r="E81" s="289" t="inlineStr">
        <is>
          <t>Castellano, Sofia</t>
        </is>
      </c>
      <c r="F81" s="352" t="n">
        <v>1160</v>
      </c>
      <c r="G81" s="352" t="n">
        <v>1125</v>
      </c>
      <c r="H81" s="352" t="n">
        <v>1125</v>
      </c>
      <c r="I81" s="353" t="n">
        <v>45420</v>
      </c>
      <c r="J81" s="353" t="n">
        <v>46514</v>
      </c>
      <c r="K81" s="289" t="n"/>
      <c r="L81" s="352" t="n">
        <v>35</v>
      </c>
      <c r="M81" s="289" t="n">
        <v>1</v>
      </c>
      <c r="N81" s="352" t="n">
        <v>-26</v>
      </c>
      <c r="O81" s="289" t="inlineStr">
        <is>
          <t>Current/Notice/Vacant Residents</t>
        </is>
      </c>
    </row>
    <row r="82" ht="28.5" customHeight="1" s="234">
      <c r="A82" s="289" t="inlineStr">
        <is>
          <t>E304</t>
        </is>
      </c>
      <c r="B82" s="289" t="inlineStr">
        <is>
          <t>B1</t>
        </is>
      </c>
      <c r="C82" s="289" t="n">
        <v>932</v>
      </c>
      <c r="D82" s="289" t="inlineStr">
        <is>
          <t>R100613</t>
        </is>
      </c>
      <c r="E82" s="289" t="inlineStr">
        <is>
          <t>Sandoval, Luis</t>
        </is>
      </c>
      <c r="F82" s="352" t="n">
        <v>1150</v>
      </c>
      <c r="G82" s="352" t="n">
        <v>1150</v>
      </c>
      <c r="H82" s="352" t="n">
        <v>1150</v>
      </c>
      <c r="I82" s="353" t="n">
        <v>45653</v>
      </c>
      <c r="J82" s="353" t="n">
        <v>46382</v>
      </c>
      <c r="K82" s="289" t="n"/>
      <c r="L82" s="352" t="n">
        <v>0</v>
      </c>
      <c r="M82" s="289" t="n">
        <v>1</v>
      </c>
      <c r="N82" s="352" t="n">
        <v>23</v>
      </c>
      <c r="O82" s="289" t="inlineStr">
        <is>
          <t>Current/Notice/Vacant Residents</t>
        </is>
      </c>
    </row>
    <row r="83" ht="28.5" customHeight="1" s="234">
      <c r="A83" s="289" t="inlineStr">
        <is>
          <t>F101</t>
        </is>
      </c>
      <c r="B83" s="289" t="inlineStr">
        <is>
          <t>B2</t>
        </is>
      </c>
      <c r="C83" s="289" t="n">
        <v>1038</v>
      </c>
      <c r="D83" s="289" t="n"/>
      <c r="E83" s="289" t="n"/>
      <c r="F83" s="352" t="n">
        <v>1255</v>
      </c>
      <c r="G83" s="352" t="n">
        <v>0</v>
      </c>
      <c r="H83" s="352" t="n">
        <v>0</v>
      </c>
      <c r="I83" s="289" t="n"/>
      <c r="J83" s="289" t="n"/>
      <c r="K83" s="289" t="n"/>
      <c r="L83" s="352" t="n">
        <v>0</v>
      </c>
      <c r="M83" s="289" t="n">
        <v>0</v>
      </c>
      <c r="N83" s="352" t="n">
        <v>41</v>
      </c>
      <c r="O83" s="289" t="inlineStr">
        <is>
          <t>Current/Notice/Vacant Residents</t>
        </is>
      </c>
    </row>
    <row r="84" ht="28.5" customHeight="1" s="234">
      <c r="A84" s="289" t="inlineStr">
        <is>
          <t>F102</t>
        </is>
      </c>
      <c r="B84" s="289" t="inlineStr">
        <is>
          <t>A1</t>
        </is>
      </c>
      <c r="C84" s="289" t="n">
        <v>712</v>
      </c>
      <c r="D84" s="289" t="inlineStr">
        <is>
          <t>R100627</t>
        </is>
      </c>
      <c r="E84" s="289" t="inlineStr">
        <is>
          <t>Quill, Owen</t>
        </is>
      </c>
      <c r="F84" s="352" t="n">
        <v>975</v>
      </c>
      <c r="G84" s="352" t="n">
        <v>975</v>
      </c>
      <c r="H84" s="352" t="n">
        <v>975</v>
      </c>
      <c r="I84" s="353" t="n">
        <v>46263</v>
      </c>
      <c r="J84" s="353" t="n">
        <v>46627</v>
      </c>
      <c r="K84" s="289" t="n"/>
      <c r="L84" s="352" t="n">
        <v>75</v>
      </c>
      <c r="M84" s="289" t="n">
        <v>1</v>
      </c>
      <c r="N84" s="352" t="n">
        <v>-116</v>
      </c>
      <c r="O84" s="289" t="inlineStr">
        <is>
          <t>Current/Notice/Vacant Residents</t>
        </is>
      </c>
    </row>
    <row r="85" ht="28.5" customHeight="1" s="234">
      <c r="A85" s="289" t="inlineStr">
        <is>
          <t>F103</t>
        </is>
      </c>
      <c r="B85" s="289" t="inlineStr">
        <is>
          <t>C1</t>
        </is>
      </c>
      <c r="C85" s="289" t="n">
        <v>1212</v>
      </c>
      <c r="D85" s="289" t="inlineStr">
        <is>
          <t>R100634</t>
        </is>
      </c>
      <c r="E85" s="289" t="inlineStr">
        <is>
          <t>Fairchild, Isaiah</t>
        </is>
      </c>
      <c r="F85" s="352" t="n">
        <v>1440</v>
      </c>
      <c r="G85" s="352" t="n">
        <v>1295</v>
      </c>
      <c r="H85" s="352" t="n">
        <v>1295</v>
      </c>
      <c r="I85" s="353" t="n">
        <v>46018</v>
      </c>
      <c r="J85" s="353" t="n">
        <v>46382</v>
      </c>
      <c r="K85" s="289" t="n"/>
      <c r="L85" s="352" t="n">
        <v>0</v>
      </c>
      <c r="M85" s="289" t="n">
        <v>1</v>
      </c>
      <c r="N85" s="352" t="n">
        <v>-185</v>
      </c>
      <c r="O85" s="289" t="inlineStr">
        <is>
          <t>Current/Notice/Vacant Residents</t>
        </is>
      </c>
    </row>
    <row r="86" ht="28.5" customHeight="1" s="234">
      <c r="A86" s="289" t="inlineStr">
        <is>
          <t>F104</t>
        </is>
      </c>
      <c r="B86" s="289" t="inlineStr">
        <is>
          <t>C1</t>
        </is>
      </c>
      <c r="C86" s="289" t="n">
        <v>1198</v>
      </c>
      <c r="D86" s="289" t="inlineStr">
        <is>
          <t>R100641</t>
        </is>
      </c>
      <c r="E86" s="289" t="inlineStr">
        <is>
          <t>Underhill, Caleb</t>
        </is>
      </c>
      <c r="F86" s="352" t="n">
        <v>1460</v>
      </c>
      <c r="G86" s="352" t="n">
        <v>1385</v>
      </c>
      <c r="H86" s="352" t="n">
        <v>1385</v>
      </c>
      <c r="I86" s="353" t="n">
        <v>46257</v>
      </c>
      <c r="J86" s="353" t="n">
        <v>46621</v>
      </c>
      <c r="K86" s="289" t="n"/>
      <c r="L86" s="352" t="n">
        <v>150</v>
      </c>
      <c r="M86" s="289" t="n">
        <v>1</v>
      </c>
      <c r="N86" s="352" t="n">
        <v>-20</v>
      </c>
      <c r="O86" s="289" t="inlineStr">
        <is>
          <t>Current/Notice/Vacant Residents</t>
        </is>
      </c>
    </row>
    <row r="87" ht="28.5" customHeight="1" s="234">
      <c r="A87" s="289" t="inlineStr">
        <is>
          <t>F201</t>
        </is>
      </c>
      <c r="B87" s="289" t="inlineStr">
        <is>
          <t>A1</t>
        </is>
      </c>
      <c r="C87" s="289" t="n">
        <v>712</v>
      </c>
      <c r="D87" s="289" t="inlineStr">
        <is>
          <t>R100648</t>
        </is>
      </c>
      <c r="E87" s="289" t="inlineStr">
        <is>
          <t>Vasquez, Paige</t>
        </is>
      </c>
      <c r="F87" s="352" t="n">
        <v>980</v>
      </c>
      <c r="G87" s="352" t="n">
        <v>980</v>
      </c>
      <c r="H87" s="352" t="n">
        <v>980</v>
      </c>
      <c r="I87" s="353" t="n">
        <v>45734</v>
      </c>
      <c r="J87" s="353" t="n">
        <v>46463</v>
      </c>
      <c r="K87" s="289" t="n"/>
      <c r="L87" s="352" t="n">
        <v>35</v>
      </c>
      <c r="M87" s="289" t="n">
        <v>1</v>
      </c>
      <c r="N87" s="352" t="n">
        <v>-121</v>
      </c>
      <c r="O87" s="289" t="inlineStr">
        <is>
          <t>Current/Notice/Vacant Residents</t>
        </is>
      </c>
    </row>
    <row r="88" ht="28.5" customHeight="1" s="234">
      <c r="A88" s="289" t="inlineStr">
        <is>
          <t>F202</t>
        </is>
      </c>
      <c r="B88" s="289" t="inlineStr">
        <is>
          <t>C1</t>
        </is>
      </c>
      <c r="C88" s="289" t="n">
        <v>1204</v>
      </c>
      <c r="D88" s="289" t="inlineStr">
        <is>
          <t>R100655</t>
        </is>
      </c>
      <c r="E88" s="289" t="inlineStr">
        <is>
          <t>Underhill, Isaiah</t>
        </is>
      </c>
      <c r="F88" s="352" t="n">
        <v>1440</v>
      </c>
      <c r="G88" s="352" t="n">
        <v>1295</v>
      </c>
      <c r="H88" s="352" t="n">
        <v>1295</v>
      </c>
      <c r="I88" s="353" t="n">
        <v>45630</v>
      </c>
      <c r="J88" s="353" t="n">
        <v>46359</v>
      </c>
      <c r="K88" s="289" t="n"/>
      <c r="L88" s="352" t="n">
        <v>150</v>
      </c>
      <c r="M88" s="289" t="n">
        <v>1</v>
      </c>
      <c r="N88" s="352" t="n">
        <v>-69</v>
      </c>
      <c r="O88" s="289" t="inlineStr">
        <is>
          <t>Current/Notice/Vacant Residents</t>
        </is>
      </c>
    </row>
    <row r="89" ht="28.5" customHeight="1" s="234">
      <c r="A89" s="289" t="inlineStr">
        <is>
          <t>F203</t>
        </is>
      </c>
      <c r="B89" s="289" t="inlineStr">
        <is>
          <t>C1</t>
        </is>
      </c>
      <c r="C89" s="289" t="n">
        <v>1198</v>
      </c>
      <c r="D89" s="289" t="inlineStr">
        <is>
          <t>R100662</t>
        </is>
      </c>
      <c r="E89" s="289" t="inlineStr">
        <is>
          <t>Zimmerman, Imani</t>
        </is>
      </c>
      <c r="F89" s="352" t="n">
        <v>1450</v>
      </c>
      <c r="G89" s="352" t="n">
        <v>1405</v>
      </c>
      <c r="H89" s="352" t="n">
        <v>1405</v>
      </c>
      <c r="I89" s="353" t="n">
        <v>46122</v>
      </c>
      <c r="J89" s="353" t="n">
        <v>46486</v>
      </c>
      <c r="K89" s="289" t="n"/>
      <c r="L89" s="352" t="n">
        <v>0</v>
      </c>
      <c r="M89" s="289" t="n">
        <v>1</v>
      </c>
      <c r="N89" s="352" t="n">
        <v>-111</v>
      </c>
      <c r="O89" s="289" t="inlineStr">
        <is>
          <t>Current/Notice/Vacant Residents</t>
        </is>
      </c>
    </row>
    <row r="90" ht="28.5" customHeight="1" s="234">
      <c r="A90" s="289" t="inlineStr">
        <is>
          <t>F204</t>
        </is>
      </c>
      <c r="B90" s="289" t="inlineStr">
        <is>
          <t>A1</t>
        </is>
      </c>
      <c r="C90" s="289" t="n">
        <v>712</v>
      </c>
      <c r="D90" s="289" t="inlineStr">
        <is>
          <t>R100669</t>
        </is>
      </c>
      <c r="E90" s="289" t="inlineStr">
        <is>
          <t>Abernathy, Jamal</t>
        </is>
      </c>
      <c r="F90" s="352" t="n">
        <v>975</v>
      </c>
      <c r="G90" s="352" t="n">
        <v>915</v>
      </c>
      <c r="H90" s="352" t="n">
        <v>915</v>
      </c>
      <c r="I90" s="353" t="n">
        <v>45356</v>
      </c>
      <c r="J90" s="353" t="n">
        <v>46450</v>
      </c>
      <c r="K90" s="289" t="n"/>
      <c r="L90" s="352" t="n">
        <v>0</v>
      </c>
      <c r="M90" s="289" t="n">
        <v>1</v>
      </c>
      <c r="N90" s="352" t="n">
        <v>-231</v>
      </c>
      <c r="O90" s="289" t="inlineStr">
        <is>
          <t>Current/Notice/Vacant Residents</t>
        </is>
      </c>
    </row>
    <row r="91" ht="28.5" customHeight="1" s="234">
      <c r="A91" s="289" t="inlineStr">
        <is>
          <t>F301</t>
        </is>
      </c>
      <c r="B91" s="289" t="inlineStr">
        <is>
          <t>B2</t>
        </is>
      </c>
      <c r="C91" s="289" t="n">
        <v>1032</v>
      </c>
      <c r="D91" s="289" t="inlineStr">
        <is>
          <t>R100676</t>
        </is>
      </c>
      <c r="E91" s="289" t="inlineStr">
        <is>
          <t>Quill, Hannah</t>
        </is>
      </c>
      <c r="F91" s="352" t="n">
        <v>1255</v>
      </c>
      <c r="G91" s="352" t="n">
        <v>1230</v>
      </c>
      <c r="H91" s="352" t="n">
        <v>1230</v>
      </c>
      <c r="I91" s="353" t="n">
        <v>45292</v>
      </c>
      <c r="J91" s="353" t="n">
        <v>46386</v>
      </c>
      <c r="K91" s="289" t="n"/>
      <c r="L91" s="352" t="n">
        <v>0</v>
      </c>
      <c r="M91" s="289" t="n">
        <v>1</v>
      </c>
      <c r="N91" s="352" t="n">
        <v>1487</v>
      </c>
      <c r="O91" s="289" t="inlineStr">
        <is>
          <t>Current/Notice/Vacant Residents</t>
        </is>
      </c>
    </row>
    <row r="92" ht="28.5" customHeight="1" s="234">
      <c r="A92" s="289" t="inlineStr">
        <is>
          <t>F302</t>
        </is>
      </c>
      <c r="B92" s="289" t="inlineStr">
        <is>
          <t>B2</t>
        </is>
      </c>
      <c r="C92" s="289" t="n">
        <v>1038</v>
      </c>
      <c r="D92" s="289" t="inlineStr">
        <is>
          <t>R100683</t>
        </is>
      </c>
      <c r="E92" s="289" t="inlineStr">
        <is>
          <t>Espinoza, Dante</t>
        </is>
      </c>
      <c r="F92" s="352" t="n">
        <v>1250</v>
      </c>
      <c r="G92" s="352" t="n">
        <v>1150</v>
      </c>
      <c r="H92" s="352" t="n">
        <v>1150</v>
      </c>
      <c r="I92" s="353" t="n">
        <v>46165</v>
      </c>
      <c r="J92" s="353" t="n">
        <v>46529</v>
      </c>
      <c r="K92" s="289" t="n"/>
      <c r="L92" s="352" t="n">
        <v>0</v>
      </c>
      <c r="M92" s="289" t="n">
        <v>1</v>
      </c>
      <c r="N92" s="352" t="n">
        <v>64</v>
      </c>
      <c r="O92" s="289" t="inlineStr">
        <is>
          <t>Current/Notice/Vacant Residents</t>
        </is>
      </c>
    </row>
    <row r="93">
      <c r="A93" s="289" t="inlineStr">
        <is>
          <t>F303</t>
        </is>
      </c>
      <c r="B93" s="289" t="inlineStr">
        <is>
          <t>A1</t>
        </is>
      </c>
      <c r="C93" s="289" t="n">
        <v>712</v>
      </c>
      <c r="D93" s="289" t="inlineStr">
        <is>
          <t>R100690</t>
        </is>
      </c>
      <c r="E93" s="289" t="inlineStr">
        <is>
          <t>Nakamura, Marisol</t>
        </is>
      </c>
      <c r="F93" s="352" t="n">
        <v>975</v>
      </c>
      <c r="G93" s="352" t="n">
        <v>915</v>
      </c>
      <c r="H93" s="352" t="n">
        <v>915</v>
      </c>
      <c r="I93" s="353" t="n">
        <v>46238</v>
      </c>
      <c r="J93" s="353" t="n">
        <v>46602</v>
      </c>
      <c r="K93" s="289" t="n"/>
      <c r="L93" s="352" t="n">
        <v>0</v>
      </c>
      <c r="M93" s="289" t="n">
        <v>1</v>
      </c>
      <c r="N93" s="352" t="n">
        <v>1675</v>
      </c>
      <c r="O93" s="289" t="inlineStr">
        <is>
          <t>Current/Notice/Vacant Residents</t>
        </is>
      </c>
    </row>
    <row r="94">
      <c r="A94" s="289" t="inlineStr">
        <is>
          <t>F304</t>
        </is>
      </c>
      <c r="B94" s="289" t="inlineStr">
        <is>
          <t>B1</t>
        </is>
      </c>
      <c r="C94" s="289" t="n">
        <v>924</v>
      </c>
      <c r="D94" s="289" t="inlineStr">
        <is>
          <t>R100697</t>
        </is>
      </c>
      <c r="E94" s="289" t="inlineStr">
        <is>
          <t>Abernathy, Tyrone</t>
        </is>
      </c>
      <c r="F94" s="352" t="n">
        <v>1150</v>
      </c>
      <c r="G94" s="352" t="n">
        <v>1090</v>
      </c>
      <c r="H94" s="352" t="n">
        <v>1090</v>
      </c>
      <c r="I94" s="353" t="n">
        <v>46153</v>
      </c>
      <c r="J94" s="353" t="n">
        <v>46517</v>
      </c>
      <c r="K94" s="289" t="n"/>
      <c r="L94" s="352" t="n">
        <v>320</v>
      </c>
      <c r="M94" s="289" t="n">
        <v>1</v>
      </c>
      <c r="N94" s="352" t="n">
        <v>1605</v>
      </c>
      <c r="O94" s="289" t="inlineStr">
        <is>
          <t>Current/Notice/Vacant Residents</t>
        </is>
      </c>
    </row>
    <row r="95" ht="28.5" customHeight="1" s="234">
      <c r="A95" s="289" t="inlineStr">
        <is>
          <t>G101</t>
        </is>
      </c>
      <c r="B95" s="289" t="inlineStr">
        <is>
          <t>A1</t>
        </is>
      </c>
      <c r="C95" s="289" t="n">
        <v>712</v>
      </c>
      <c r="D95" s="289" t="inlineStr">
        <is>
          <t>R100704</t>
        </is>
      </c>
      <c r="E95" s="289" t="inlineStr">
        <is>
          <t>Iverson, Felix</t>
        </is>
      </c>
      <c r="F95" s="352" t="n">
        <v>965</v>
      </c>
      <c r="G95" s="352" t="n">
        <v>935</v>
      </c>
      <c r="H95" s="352" t="n">
        <v>935</v>
      </c>
      <c r="I95" s="353" t="n">
        <v>45894</v>
      </c>
      <c r="J95" s="353" t="n">
        <v>46623</v>
      </c>
      <c r="K95" s="289" t="n"/>
      <c r="L95" s="352" t="n">
        <v>150</v>
      </c>
      <c r="M95" s="289" t="n">
        <v>1</v>
      </c>
      <c r="N95" s="352" t="n">
        <v>-58</v>
      </c>
      <c r="O95" s="289" t="inlineStr">
        <is>
          <t>Current/Notice/Vacant Residents</t>
        </is>
      </c>
    </row>
    <row r="96" ht="28.5" customHeight="1" s="234">
      <c r="A96" s="289" t="inlineStr">
        <is>
          <t>G102</t>
        </is>
      </c>
      <c r="B96" s="289" t="inlineStr">
        <is>
          <t>A1</t>
        </is>
      </c>
      <c r="C96" s="289" t="n">
        <v>712</v>
      </c>
      <c r="D96" s="289" t="inlineStr">
        <is>
          <t>R100711</t>
        </is>
      </c>
      <c r="E96" s="289" t="inlineStr">
        <is>
          <t>Pruitt, Sofia</t>
        </is>
      </c>
      <c r="F96" s="352" t="n">
        <v>975</v>
      </c>
      <c r="G96" s="352" t="n">
        <v>915</v>
      </c>
      <c r="H96" s="352" t="n">
        <v>915</v>
      </c>
      <c r="I96" s="353" t="n">
        <v>45489</v>
      </c>
      <c r="J96" s="353" t="n">
        <v>46583</v>
      </c>
      <c r="K96" s="289" t="n"/>
      <c r="L96" s="352" t="n">
        <v>0</v>
      </c>
      <c r="M96" s="289" t="n">
        <v>1</v>
      </c>
      <c r="N96" s="352" t="n">
        <v>-150</v>
      </c>
      <c r="O96" s="289" t="inlineStr">
        <is>
          <t>Current/Notice/Vacant Residents</t>
        </is>
      </c>
    </row>
    <row r="97" ht="28.5" customHeight="1" s="234">
      <c r="A97" s="289" t="inlineStr">
        <is>
          <t>G103</t>
        </is>
      </c>
      <c r="B97" s="289" t="inlineStr">
        <is>
          <t>C1</t>
        </is>
      </c>
      <c r="C97" s="289" t="n">
        <v>1204</v>
      </c>
      <c r="D97" s="289" t="inlineStr">
        <is>
          <t>R100718</t>
        </is>
      </c>
      <c r="E97" s="289" t="inlineStr">
        <is>
          <t>Sandoval, Walter</t>
        </is>
      </c>
      <c r="F97" s="352" t="n">
        <v>1460</v>
      </c>
      <c r="G97" s="352" t="n">
        <v>1400</v>
      </c>
      <c r="H97" s="352" t="n">
        <v>1400</v>
      </c>
      <c r="I97" s="353" t="n">
        <v>45421</v>
      </c>
      <c r="J97" s="353" t="n">
        <v>46515</v>
      </c>
      <c r="K97" s="289" t="n"/>
      <c r="L97" s="352" t="n">
        <v>0</v>
      </c>
      <c r="M97" s="289" t="n">
        <v>1</v>
      </c>
      <c r="N97" s="352" t="n">
        <v>-105</v>
      </c>
      <c r="O97" s="289" t="inlineStr">
        <is>
          <t>Current/Notice/Vacant Residents</t>
        </is>
      </c>
    </row>
    <row r="98">
      <c r="A98" s="289" t="inlineStr">
        <is>
          <t>G104</t>
        </is>
      </c>
      <c r="B98" s="289" t="inlineStr">
        <is>
          <t>A1</t>
        </is>
      </c>
      <c r="C98" s="289" t="n">
        <v>712</v>
      </c>
      <c r="D98" s="289" t="inlineStr">
        <is>
          <t>R100725</t>
        </is>
      </c>
      <c r="E98" s="289" t="inlineStr">
        <is>
          <t>Quill, Grant</t>
        </is>
      </c>
      <c r="F98" s="352" t="n">
        <v>980</v>
      </c>
      <c r="G98" s="352" t="n">
        <v>940</v>
      </c>
      <c r="H98" s="352" t="n">
        <v>940</v>
      </c>
      <c r="I98" s="353" t="n">
        <v>45472</v>
      </c>
      <c r="J98" s="353" t="n">
        <v>46566</v>
      </c>
      <c r="K98" s="289" t="n"/>
      <c r="L98" s="352" t="n">
        <v>150</v>
      </c>
      <c r="M98" s="289" t="n">
        <v>1</v>
      </c>
      <c r="N98" s="352" t="n">
        <v>1893</v>
      </c>
      <c r="O98" s="289" t="inlineStr">
        <is>
          <t>Current/Notice/Vacant Residents</t>
        </is>
      </c>
    </row>
    <row r="99" ht="28.5" customHeight="1" s="234">
      <c r="A99" s="289" t="inlineStr">
        <is>
          <t>G201</t>
        </is>
      </c>
      <c r="B99" s="289" t="inlineStr">
        <is>
          <t>B2</t>
        </is>
      </c>
      <c r="C99" s="289" t="n">
        <v>1046</v>
      </c>
      <c r="D99" s="289" t="inlineStr">
        <is>
          <t>R100732</t>
        </is>
      </c>
      <c r="E99" s="289" t="inlineStr">
        <is>
          <t>Zimmerman, Felix</t>
        </is>
      </c>
      <c r="F99" s="352" t="n">
        <v>1235</v>
      </c>
      <c r="G99" s="352" t="n">
        <v>1200</v>
      </c>
      <c r="H99" s="352" t="n">
        <v>1200</v>
      </c>
      <c r="I99" s="353" t="n">
        <v>45916</v>
      </c>
      <c r="J99" s="353" t="n">
        <v>46645</v>
      </c>
      <c r="K99" s="289" t="n"/>
      <c r="L99" s="352" t="n">
        <v>0</v>
      </c>
      <c r="M99" s="289" t="n">
        <v>1</v>
      </c>
      <c r="N99" s="352" t="n">
        <v>8</v>
      </c>
      <c r="O99" s="289" t="inlineStr">
        <is>
          <t>Current/Notice/Vacant Residents</t>
        </is>
      </c>
    </row>
    <row r="100" ht="28.5" customHeight="1" s="234">
      <c r="A100" s="289" t="inlineStr">
        <is>
          <t>G202</t>
        </is>
      </c>
      <c r="B100" s="289" t="inlineStr">
        <is>
          <t>B2</t>
        </is>
      </c>
      <c r="C100" s="289" t="n">
        <v>1038</v>
      </c>
      <c r="D100" s="289" t="n"/>
      <c r="E100" s="289" t="n"/>
      <c r="F100" s="352" t="n">
        <v>1255</v>
      </c>
      <c r="G100" s="352" t="n">
        <v>0</v>
      </c>
      <c r="H100" s="352" t="n">
        <v>0</v>
      </c>
      <c r="I100" s="289" t="n"/>
      <c r="J100" s="289" t="n"/>
      <c r="K100" s="289" t="n"/>
      <c r="L100" s="352" t="n">
        <v>0</v>
      </c>
      <c r="M100" s="289" t="n">
        <v>0</v>
      </c>
      <c r="N100" s="352" t="n">
        <v>-134</v>
      </c>
      <c r="O100" s="289" t="inlineStr">
        <is>
          <t>Current/Notice/Vacant Residents</t>
        </is>
      </c>
    </row>
    <row r="101" ht="28.5" customHeight="1" s="234">
      <c r="A101" s="289" t="inlineStr">
        <is>
          <t>G203</t>
        </is>
      </c>
      <c r="B101" s="289" t="inlineStr">
        <is>
          <t>A1</t>
        </is>
      </c>
      <c r="C101" s="289" t="n">
        <v>720</v>
      </c>
      <c r="D101" s="289" t="inlineStr">
        <is>
          <t>R100746</t>
        </is>
      </c>
      <c r="E101" s="289" t="inlineStr">
        <is>
          <t>Dunmore, Jamal</t>
        </is>
      </c>
      <c r="F101" s="352" t="n">
        <v>975</v>
      </c>
      <c r="G101" s="352" t="n">
        <v>925</v>
      </c>
      <c r="H101" s="352" t="n">
        <v>925</v>
      </c>
      <c r="I101" s="353" t="n">
        <v>46007</v>
      </c>
      <c r="J101" s="353" t="n">
        <v>46371</v>
      </c>
      <c r="K101" s="289" t="n"/>
      <c r="L101" s="352" t="n">
        <v>0</v>
      </c>
      <c r="M101" s="289" t="n">
        <v>1</v>
      </c>
      <c r="N101" s="352" t="n">
        <v>35</v>
      </c>
      <c r="O101" s="289" t="inlineStr">
        <is>
          <t>Current/Notice/Vacant Residents</t>
        </is>
      </c>
    </row>
    <row r="102" ht="28.5" customHeight="1" s="234">
      <c r="A102" s="289" t="inlineStr">
        <is>
          <t>G204</t>
        </is>
      </c>
      <c r="B102" s="289" t="inlineStr">
        <is>
          <t>B1</t>
        </is>
      </c>
      <c r="C102" s="289" t="n">
        <v>924</v>
      </c>
      <c r="D102" s="289" t="inlineStr">
        <is>
          <t>R100753</t>
        </is>
      </c>
      <c r="E102" s="289" t="inlineStr">
        <is>
          <t>Fairchild, Zane</t>
        </is>
      </c>
      <c r="F102" s="352" t="n">
        <v>1160</v>
      </c>
      <c r="G102" s="352" t="n">
        <v>1160</v>
      </c>
      <c r="H102" s="352" t="n">
        <v>1160</v>
      </c>
      <c r="I102" s="353" t="n">
        <v>46136</v>
      </c>
      <c r="J102" s="353" t="n">
        <v>46500</v>
      </c>
      <c r="K102" s="289" t="n"/>
      <c r="L102" s="352" t="n">
        <v>0</v>
      </c>
      <c r="M102" s="289" t="n">
        <v>1</v>
      </c>
      <c r="N102" s="352" t="n">
        <v>24</v>
      </c>
      <c r="O102" s="289" t="inlineStr">
        <is>
          <t>Current/Notice/Vacant Residents</t>
        </is>
      </c>
    </row>
    <row r="103" ht="28.5" customHeight="1" s="234">
      <c r="A103" s="289" t="inlineStr">
        <is>
          <t>G301</t>
        </is>
      </c>
      <c r="B103" s="289" t="inlineStr">
        <is>
          <t>A1</t>
        </is>
      </c>
      <c r="C103" s="289" t="n">
        <v>712</v>
      </c>
      <c r="D103" s="289" t="inlineStr">
        <is>
          <t>R100760</t>
        </is>
      </c>
      <c r="E103" s="289" t="inlineStr">
        <is>
          <t>Abernathy, Felix</t>
        </is>
      </c>
      <c r="F103" s="352" t="n">
        <v>965</v>
      </c>
      <c r="G103" s="352" t="n">
        <v>945</v>
      </c>
      <c r="H103" s="352" t="n">
        <v>945</v>
      </c>
      <c r="I103" s="353" t="n">
        <v>45553</v>
      </c>
      <c r="J103" s="353" t="n">
        <v>46647</v>
      </c>
      <c r="K103" s="289" t="n"/>
      <c r="L103" s="352" t="n">
        <v>0</v>
      </c>
      <c r="M103" s="289" t="n">
        <v>1</v>
      </c>
      <c r="N103" s="352" t="n">
        <v>95</v>
      </c>
      <c r="O103" s="289" t="inlineStr">
        <is>
          <t>Current/Notice/Vacant Residents</t>
        </is>
      </c>
    </row>
    <row r="104" ht="28.5" customHeight="1" s="234">
      <c r="A104" s="289" t="inlineStr">
        <is>
          <t>G302</t>
        </is>
      </c>
      <c r="B104" s="289" t="inlineStr">
        <is>
          <t>B2</t>
        </is>
      </c>
      <c r="C104" s="289" t="n">
        <v>1038</v>
      </c>
      <c r="D104" s="289" t="inlineStr">
        <is>
          <t>R100767</t>
        </is>
      </c>
      <c r="E104" s="289" t="inlineStr">
        <is>
          <t>Iverson, Owen</t>
        </is>
      </c>
      <c r="F104" s="352" t="n">
        <v>1250</v>
      </c>
      <c r="G104" s="352" t="n">
        <v>1125</v>
      </c>
      <c r="H104" s="352" t="n">
        <v>1125</v>
      </c>
      <c r="I104" s="353" t="n">
        <v>46218</v>
      </c>
      <c r="J104" s="353" t="n">
        <v>46582</v>
      </c>
      <c r="K104" s="289" t="n"/>
      <c r="L104" s="352" t="n">
        <v>0</v>
      </c>
      <c r="M104" s="289" t="n">
        <v>1</v>
      </c>
      <c r="N104" s="352" t="n">
        <v>-206</v>
      </c>
      <c r="O104" s="289" t="inlineStr">
        <is>
          <t>Current/Notice/Vacant Residents</t>
        </is>
      </c>
    </row>
    <row r="105" ht="28.5" customHeight="1" s="234">
      <c r="A105" s="289" t="inlineStr">
        <is>
          <t>G303</t>
        </is>
      </c>
      <c r="B105" s="289" t="inlineStr">
        <is>
          <t>B2</t>
        </is>
      </c>
      <c r="C105" s="289" t="n">
        <v>1038</v>
      </c>
      <c r="D105" s="289" t="inlineStr">
        <is>
          <t>R100774</t>
        </is>
      </c>
      <c r="E105" s="289" t="inlineStr">
        <is>
          <t>Rasmussen, Priya</t>
        </is>
      </c>
      <c r="F105" s="352" t="n">
        <v>1245</v>
      </c>
      <c r="G105" s="352" t="n">
        <v>1170</v>
      </c>
      <c r="H105" s="352" t="n">
        <v>1170</v>
      </c>
      <c r="I105" s="353" t="n">
        <v>45561</v>
      </c>
      <c r="J105" s="353" t="n">
        <v>46655</v>
      </c>
      <c r="K105" s="289" t="n"/>
      <c r="L105" s="352" t="n">
        <v>0</v>
      </c>
      <c r="M105" s="289" t="n">
        <v>1</v>
      </c>
      <c r="N105" s="352" t="n">
        <v>-88</v>
      </c>
      <c r="O105" s="289" t="inlineStr">
        <is>
          <t>Current/Notice/Vacant Residents</t>
        </is>
      </c>
    </row>
    <row r="106" ht="28.5" customHeight="1" s="234">
      <c r="A106" s="289" t="inlineStr">
        <is>
          <t>G304</t>
        </is>
      </c>
      <c r="B106" s="289" t="inlineStr">
        <is>
          <t>B2</t>
        </is>
      </c>
      <c r="C106" s="289" t="n">
        <v>1046</v>
      </c>
      <c r="D106" s="289" t="inlineStr">
        <is>
          <t>R100781</t>
        </is>
      </c>
      <c r="E106" s="289" t="inlineStr">
        <is>
          <t>Kowalski, Owen</t>
        </is>
      </c>
      <c r="F106" s="352" t="n">
        <v>1235</v>
      </c>
      <c r="G106" s="352" t="n">
        <v>1135</v>
      </c>
      <c r="H106" s="352" t="n">
        <v>1135</v>
      </c>
      <c r="I106" s="353" t="n">
        <v>45409</v>
      </c>
      <c r="J106" s="353" t="n">
        <v>46503</v>
      </c>
      <c r="K106" s="289" t="n"/>
      <c r="L106" s="352" t="n">
        <v>0</v>
      </c>
      <c r="M106" s="289" t="n">
        <v>1</v>
      </c>
      <c r="N106" s="352" t="n">
        <v>-98</v>
      </c>
      <c r="O106" s="289" t="inlineStr">
        <is>
          <t>Current/Notice/Vacant Residents</t>
        </is>
      </c>
    </row>
    <row r="107" ht="28.5" customHeight="1" s="234">
      <c r="A107" s="289" t="inlineStr">
        <is>
          <t>H101</t>
        </is>
      </c>
      <c r="B107" s="289" t="inlineStr">
        <is>
          <t>B1</t>
        </is>
      </c>
      <c r="C107" s="289" t="n">
        <v>918</v>
      </c>
      <c r="D107" s="289" t="inlineStr">
        <is>
          <t>R100788</t>
        </is>
      </c>
      <c r="E107" s="289" t="inlineStr">
        <is>
          <t>Coleman, Leah</t>
        </is>
      </c>
      <c r="F107" s="352" t="n">
        <v>1150</v>
      </c>
      <c r="G107" s="352" t="n">
        <v>1035</v>
      </c>
      <c r="H107" s="352" t="n">
        <v>1035</v>
      </c>
      <c r="I107" s="353" t="n">
        <v>45811</v>
      </c>
      <c r="J107" s="353" t="n">
        <v>46540</v>
      </c>
      <c r="K107" s="289" t="n"/>
      <c r="L107" s="352" t="n">
        <v>0</v>
      </c>
      <c r="M107" s="289" t="n">
        <v>1</v>
      </c>
      <c r="N107" s="352" t="n">
        <v>5</v>
      </c>
      <c r="O107" s="289" t="inlineStr">
        <is>
          <t>Current/Notice/Vacant Residents</t>
        </is>
      </c>
    </row>
    <row r="108" ht="28.5" customHeight="1" s="234">
      <c r="A108" s="289" t="inlineStr">
        <is>
          <t>H102</t>
        </is>
      </c>
      <c r="B108" s="289" t="inlineStr">
        <is>
          <t>B1</t>
        </is>
      </c>
      <c r="C108" s="289" t="n">
        <v>918</v>
      </c>
      <c r="D108" s="289" t="inlineStr">
        <is>
          <t>R100795</t>
        </is>
      </c>
      <c r="E108" s="289" t="inlineStr">
        <is>
          <t>Jernigan, Zane</t>
        </is>
      </c>
      <c r="F108" s="352" t="n">
        <v>1150</v>
      </c>
      <c r="G108" s="352" t="n">
        <v>1150</v>
      </c>
      <c r="H108" s="352" t="n">
        <v>1150</v>
      </c>
      <c r="I108" s="353" t="n">
        <v>45939</v>
      </c>
      <c r="J108" s="353" t="n">
        <v>46668</v>
      </c>
      <c r="K108" s="289" t="n"/>
      <c r="L108" s="352" t="n">
        <v>75</v>
      </c>
      <c r="M108" s="289" t="n">
        <v>1</v>
      </c>
      <c r="N108" s="352" t="n">
        <v>48</v>
      </c>
      <c r="O108" s="289" t="inlineStr">
        <is>
          <t>Current/Notice/Vacant Residents</t>
        </is>
      </c>
    </row>
    <row r="109" ht="28.5" customHeight="1" s="234">
      <c r="A109" s="289" t="inlineStr">
        <is>
          <t>H103</t>
        </is>
      </c>
      <c r="B109" s="289" t="inlineStr">
        <is>
          <t>B2</t>
        </is>
      </c>
      <c r="C109" s="289" t="n">
        <v>1038</v>
      </c>
      <c r="D109" s="289" t="inlineStr">
        <is>
          <t>R100802</t>
        </is>
      </c>
      <c r="E109" s="289" t="inlineStr">
        <is>
          <t>Gutierrez, Priya</t>
        </is>
      </c>
      <c r="F109" s="352" t="n">
        <v>1250</v>
      </c>
      <c r="G109" s="352" t="n">
        <v>1190</v>
      </c>
      <c r="H109" s="352" t="n">
        <v>1190</v>
      </c>
      <c r="I109" s="353" t="n">
        <v>45889</v>
      </c>
      <c r="J109" s="353" t="n">
        <v>46618</v>
      </c>
      <c r="K109" s="289" t="n"/>
      <c r="L109" s="352" t="n">
        <v>0</v>
      </c>
      <c r="M109" s="289" t="n">
        <v>1</v>
      </c>
      <c r="N109" s="352" t="n">
        <v>-37</v>
      </c>
      <c r="O109" s="289" t="inlineStr">
        <is>
          <t>Current/Notice/Vacant Residents</t>
        </is>
      </c>
    </row>
    <row r="110" ht="28.5" customHeight="1" s="234">
      <c r="A110" s="289" t="inlineStr">
        <is>
          <t>H104</t>
        </is>
      </c>
      <c r="B110" s="289" t="inlineStr">
        <is>
          <t>A1</t>
        </is>
      </c>
      <c r="C110" s="289" t="n">
        <v>712</v>
      </c>
      <c r="D110" s="289" t="inlineStr">
        <is>
          <t>R100809</t>
        </is>
      </c>
      <c r="E110" s="289" t="inlineStr">
        <is>
          <t>Rasmussen, Omar</t>
        </is>
      </c>
      <c r="F110" s="352" t="n">
        <v>985</v>
      </c>
      <c r="G110" s="352" t="n">
        <v>905</v>
      </c>
      <c r="H110" s="352" t="n">
        <v>905</v>
      </c>
      <c r="I110" s="353" t="n">
        <v>45641</v>
      </c>
      <c r="J110" s="353" t="n">
        <v>46370</v>
      </c>
      <c r="K110" s="289" t="n"/>
      <c r="L110" s="352" t="n">
        <v>35</v>
      </c>
      <c r="M110" s="289" t="n">
        <v>1</v>
      </c>
      <c r="N110" s="352" t="n">
        <v>-75</v>
      </c>
      <c r="O110" s="289" t="inlineStr">
        <is>
          <t>Current/Notice/Vacant Residents</t>
        </is>
      </c>
    </row>
    <row r="111" ht="28.5" customHeight="1" s="234">
      <c r="A111" s="289" t="inlineStr">
        <is>
          <t>H201</t>
        </is>
      </c>
      <c r="B111" s="289" t="inlineStr">
        <is>
          <t>B2</t>
        </is>
      </c>
      <c r="C111" s="289" t="n">
        <v>1046</v>
      </c>
      <c r="D111" s="289" t="inlineStr">
        <is>
          <t>R100816</t>
        </is>
      </c>
      <c r="E111" s="289" t="inlineStr">
        <is>
          <t>Mbeki, Tomas</t>
        </is>
      </c>
      <c r="F111" s="352" t="n">
        <v>1235</v>
      </c>
      <c r="G111" s="352" t="n">
        <v>1110</v>
      </c>
      <c r="H111" s="352" t="n">
        <v>1110</v>
      </c>
      <c r="I111" s="353" t="n">
        <v>45827</v>
      </c>
      <c r="J111" s="353" t="n">
        <v>46556</v>
      </c>
      <c r="K111" s="289" t="n"/>
      <c r="L111" s="352" t="n">
        <v>0</v>
      </c>
      <c r="M111" s="289" t="n">
        <v>1</v>
      </c>
      <c r="N111" s="352" t="n">
        <v>89</v>
      </c>
      <c r="O111" s="289" t="inlineStr">
        <is>
          <t>Current/Notice/Vacant Residents</t>
        </is>
      </c>
    </row>
    <row r="112" ht="28.5" customHeight="1" s="234">
      <c r="A112" s="289" t="inlineStr">
        <is>
          <t>H202</t>
        </is>
      </c>
      <c r="B112" s="289" t="inlineStr">
        <is>
          <t>A1</t>
        </is>
      </c>
      <c r="C112" s="289" t="n">
        <v>712</v>
      </c>
      <c r="D112" s="289" t="inlineStr">
        <is>
          <t>R100823</t>
        </is>
      </c>
      <c r="E112" s="289" t="inlineStr">
        <is>
          <t>Lindqvist, Yolanda</t>
        </is>
      </c>
      <c r="F112" s="352" t="n">
        <v>985</v>
      </c>
      <c r="G112" s="352" t="n">
        <v>955</v>
      </c>
      <c r="H112" s="352" t="n">
        <v>955</v>
      </c>
      <c r="I112" s="353" t="n">
        <v>45236</v>
      </c>
      <c r="J112" s="353" t="n">
        <v>46330</v>
      </c>
      <c r="K112" s="289" t="n"/>
      <c r="L112" s="352" t="n">
        <v>0</v>
      </c>
      <c r="M112" s="289" t="n">
        <v>1</v>
      </c>
      <c r="N112" s="352" t="n">
        <v>-79</v>
      </c>
      <c r="O112" s="289" t="inlineStr">
        <is>
          <t>Current/Notice/Vacant Residents</t>
        </is>
      </c>
    </row>
    <row r="113" ht="28.5" customHeight="1" s="234">
      <c r="A113" s="289" t="inlineStr">
        <is>
          <t>H203</t>
        </is>
      </c>
      <c r="B113" s="289" t="inlineStr">
        <is>
          <t>A1</t>
        </is>
      </c>
      <c r="C113" s="289" t="n">
        <v>712</v>
      </c>
      <c r="D113" s="289" t="n"/>
      <c r="E113" s="289" t="n"/>
      <c r="F113" s="352" t="n">
        <v>985</v>
      </c>
      <c r="G113" s="352" t="n">
        <v>0</v>
      </c>
      <c r="H113" s="352" t="n">
        <v>0</v>
      </c>
      <c r="I113" s="289" t="n"/>
      <c r="J113" s="289" t="n"/>
      <c r="K113" s="353" t="n">
        <v>46293</v>
      </c>
      <c r="L113" s="352" t="n">
        <v>0</v>
      </c>
      <c r="M113" s="289" t="n">
        <v>0</v>
      </c>
      <c r="N113" s="352" t="n">
        <v>94</v>
      </c>
      <c r="O113" s="289" t="inlineStr">
        <is>
          <t>Current/Notice/Vacant Residents</t>
        </is>
      </c>
    </row>
    <row r="114">
      <c r="A114" s="289" t="inlineStr">
        <is>
          <t>H204</t>
        </is>
      </c>
      <c r="B114" s="289" t="inlineStr">
        <is>
          <t>A1</t>
        </is>
      </c>
      <c r="C114" s="289" t="n">
        <v>720</v>
      </c>
      <c r="D114" s="289" t="inlineStr">
        <is>
          <t>R100837</t>
        </is>
      </c>
      <c r="E114" s="289" t="inlineStr">
        <is>
          <t>Whitlock, Elena</t>
        </is>
      </c>
      <c r="F114" s="352" t="n">
        <v>975</v>
      </c>
      <c r="G114" s="352" t="n">
        <v>895</v>
      </c>
      <c r="H114" s="352" t="n">
        <v>895</v>
      </c>
      <c r="I114" s="353" t="n">
        <v>45725</v>
      </c>
      <c r="J114" s="353" t="n">
        <v>46454</v>
      </c>
      <c r="K114" s="289" t="n"/>
      <c r="L114" s="352" t="n">
        <v>0</v>
      </c>
      <c r="M114" s="289" t="n">
        <v>1</v>
      </c>
      <c r="N114" s="352" t="n">
        <v>1893</v>
      </c>
      <c r="O114" s="289" t="inlineStr">
        <is>
          <t>Current/Notice/Vacant Residents</t>
        </is>
      </c>
    </row>
    <row r="115" ht="28.5" customHeight="1" s="234">
      <c r="A115" s="289" t="inlineStr">
        <is>
          <t>H301</t>
        </is>
      </c>
      <c r="B115" s="289" t="inlineStr">
        <is>
          <t>B1</t>
        </is>
      </c>
      <c r="C115" s="289" t="n">
        <v>932</v>
      </c>
      <c r="D115" s="289" t="inlineStr">
        <is>
          <t>R100844</t>
        </is>
      </c>
      <c r="E115" s="289" t="inlineStr">
        <is>
          <t>Okafor, Hannah</t>
        </is>
      </c>
      <c r="F115" s="352" t="n">
        <v>1140</v>
      </c>
      <c r="G115" s="352" t="n">
        <v>1050</v>
      </c>
      <c r="H115" s="352" t="n">
        <v>1050</v>
      </c>
      <c r="I115" s="353" t="n">
        <v>46198</v>
      </c>
      <c r="J115" s="353" t="n">
        <v>46562</v>
      </c>
      <c r="K115" s="289" t="n"/>
      <c r="L115" s="352" t="n">
        <v>0</v>
      </c>
      <c r="M115" s="289" t="n">
        <v>1</v>
      </c>
      <c r="N115" s="352" t="n">
        <v>-5</v>
      </c>
      <c r="O115" s="289" t="inlineStr">
        <is>
          <t>Current/Notice/Vacant Residents</t>
        </is>
      </c>
    </row>
    <row r="116" ht="28.5" customHeight="1" s="234">
      <c r="A116" s="289" t="inlineStr">
        <is>
          <t>H302</t>
        </is>
      </c>
      <c r="B116" s="289" t="inlineStr">
        <is>
          <t>B1</t>
        </is>
      </c>
      <c r="C116" s="289" t="n">
        <v>924</v>
      </c>
      <c r="D116" s="289" t="inlineStr">
        <is>
          <t>R100851</t>
        </is>
      </c>
      <c r="E116" s="289" t="inlineStr">
        <is>
          <t>Lindqvist, Camila</t>
        </is>
      </c>
      <c r="F116" s="352" t="n">
        <v>1155</v>
      </c>
      <c r="G116" s="352" t="n">
        <v>1110</v>
      </c>
      <c r="H116" s="352" t="n">
        <v>1110</v>
      </c>
      <c r="I116" s="353" t="n">
        <v>45399</v>
      </c>
      <c r="J116" s="353" t="n">
        <v>46493</v>
      </c>
      <c r="K116" s="289" t="n"/>
      <c r="L116" s="352" t="n">
        <v>0</v>
      </c>
      <c r="M116" s="289" t="n">
        <v>1</v>
      </c>
      <c r="N116" s="352" t="n">
        <v>-166</v>
      </c>
      <c r="O116" s="289" t="inlineStr">
        <is>
          <t>Current/Notice/Vacant Residents</t>
        </is>
      </c>
    </row>
    <row r="117" ht="28.5" customHeight="1" s="234">
      <c r="A117" s="289" t="inlineStr">
        <is>
          <t>H303</t>
        </is>
      </c>
      <c r="B117" s="289" t="inlineStr">
        <is>
          <t>A1</t>
        </is>
      </c>
      <c r="C117" s="289" t="n">
        <v>712</v>
      </c>
      <c r="D117" s="289" t="inlineStr">
        <is>
          <t>R100858</t>
        </is>
      </c>
      <c r="E117" s="289" t="inlineStr">
        <is>
          <t>Coleman, Caleb</t>
        </is>
      </c>
      <c r="F117" s="352" t="n">
        <v>985</v>
      </c>
      <c r="G117" s="352" t="n">
        <v>955</v>
      </c>
      <c r="H117" s="352" t="n">
        <v>955</v>
      </c>
      <c r="I117" s="353" t="n">
        <v>45569</v>
      </c>
      <c r="J117" s="353" t="n">
        <v>46663</v>
      </c>
      <c r="K117" s="289" t="n"/>
      <c r="L117" s="352" t="n">
        <v>0</v>
      </c>
      <c r="M117" s="289" t="n">
        <v>1</v>
      </c>
      <c r="N117" s="352" t="n">
        <v>-4</v>
      </c>
      <c r="O117" s="289" t="inlineStr">
        <is>
          <t>Current/Notice/Vacant Residents</t>
        </is>
      </c>
    </row>
    <row r="118" ht="28.5" customHeight="1" s="234">
      <c r="A118" s="289" t="inlineStr">
        <is>
          <t>H304</t>
        </is>
      </c>
      <c r="B118" s="289" t="inlineStr">
        <is>
          <t>A1</t>
        </is>
      </c>
      <c r="C118" s="289" t="n">
        <v>712</v>
      </c>
      <c r="D118" s="289" t="inlineStr">
        <is>
          <t>R100865</t>
        </is>
      </c>
      <c r="E118" s="289" t="inlineStr">
        <is>
          <t>Gutierrez, Elena</t>
        </is>
      </c>
      <c r="F118" s="352" t="n">
        <v>975</v>
      </c>
      <c r="G118" s="352" t="n">
        <v>915</v>
      </c>
      <c r="H118" s="352" t="n">
        <v>915</v>
      </c>
      <c r="I118" s="353" t="n">
        <v>45368</v>
      </c>
      <c r="J118" s="353" t="n">
        <v>46462</v>
      </c>
      <c r="K118" s="289" t="n"/>
      <c r="L118" s="352" t="n">
        <v>75</v>
      </c>
      <c r="M118" s="289" t="n">
        <v>1</v>
      </c>
      <c r="N118" s="352" t="n">
        <v>30</v>
      </c>
      <c r="O118" s="289" t="inlineStr">
        <is>
          <t>Current/Notice/Vacant Residents</t>
        </is>
      </c>
    </row>
    <row r="119" ht="28.5" customHeight="1" s="234">
      <c r="A119" s="289" t="n"/>
      <c r="B119" s="289" t="n"/>
      <c r="C119" s="289" t="n"/>
      <c r="D119" s="289" t="n"/>
      <c r="E119" s="289" t="n"/>
      <c r="F119" s="352" t="n"/>
      <c r="G119" s="352" t="n"/>
      <c r="H119" s="352" t="n"/>
      <c r="I119" s="289" t="n"/>
      <c r="J119" s="289" t="n"/>
      <c r="K119" s="289" t="n"/>
      <c r="L119" s="352" t="n"/>
      <c r="M119" s="289" t="n"/>
      <c r="N119" s="352" t="n">
        <v>75</v>
      </c>
      <c r="O119" s="289" t="inlineStr">
        <is>
          <t>Current/Notice/Vacant Residents</t>
        </is>
      </c>
    </row>
    <row r="120" ht="28.5" customHeight="1" s="234">
      <c r="A120" s="289" t="n"/>
      <c r="B120" s="289" t="n"/>
      <c r="C120" s="289" t="n"/>
      <c r="D120" s="289" t="n"/>
      <c r="E120" s="289" t="n"/>
      <c r="F120" s="352" t="n"/>
      <c r="G120" s="352" t="n"/>
      <c r="H120" s="352" t="n"/>
      <c r="I120" s="289" t="n"/>
      <c r="J120" s="289" t="n"/>
      <c r="K120" s="289" t="n"/>
      <c r="L120" s="352" t="n"/>
      <c r="M120" s="289" t="n"/>
      <c r="N120" s="352" t="n">
        <v>-64</v>
      </c>
      <c r="O120" s="289" t="inlineStr">
        <is>
          <t>Current/Notice/Vacant Residents</t>
        </is>
      </c>
    </row>
    <row r="121" ht="28.5" customHeight="1" s="234">
      <c r="A121" s="289" t="n"/>
      <c r="B121" s="289" t="n"/>
      <c r="C121" s="289" t="n"/>
      <c r="D121" s="289" t="n"/>
      <c r="E121" s="289" t="n"/>
      <c r="F121" s="352" t="n"/>
      <c r="G121" s="352" t="n"/>
      <c r="H121" s="352" t="n"/>
      <c r="I121" s="289" t="n"/>
      <c r="J121" s="289" t="n"/>
      <c r="K121" s="289" t="n"/>
      <c r="L121" s="352" t="n"/>
      <c r="M121" s="289" t="n"/>
      <c r="N121" s="352" t="n">
        <v>33</v>
      </c>
      <c r="O121" s="289" t="inlineStr">
        <is>
          <t>Current/Notice/Vacant Residents</t>
        </is>
      </c>
    </row>
    <row r="122" ht="28.5" customHeight="1" s="234">
      <c r="A122" s="289" t="n"/>
      <c r="B122" s="289" t="n"/>
      <c r="C122" s="289" t="n"/>
      <c r="D122" s="289" t="n"/>
      <c r="E122" s="289" t="n"/>
      <c r="F122" s="352" t="n"/>
      <c r="G122" s="352" t="n"/>
      <c r="H122" s="352" t="n"/>
      <c r="I122" s="289" t="n"/>
      <c r="J122" s="289" t="n"/>
      <c r="K122" s="289" t="n"/>
      <c r="L122" s="352" t="n"/>
      <c r="M122" s="289" t="n"/>
      <c r="N122" s="352" t="n">
        <v>7</v>
      </c>
      <c r="O122" s="289" t="inlineStr">
        <is>
          <t>Current/Notice/Vacant Residents</t>
        </is>
      </c>
    </row>
    <row r="123" ht="28.5" customHeight="1" s="234">
      <c r="A123" s="289" t="n"/>
      <c r="B123" s="289" t="n"/>
      <c r="C123" s="289" t="n"/>
      <c r="D123" s="289" t="n"/>
      <c r="E123" s="289" t="n"/>
      <c r="F123" s="352" t="n"/>
      <c r="G123" s="352" t="n"/>
      <c r="H123" s="352" t="n"/>
      <c r="I123" s="289" t="n"/>
      <c r="J123" s="289" t="n"/>
      <c r="K123" s="289" t="n"/>
      <c r="L123" s="352" t="n"/>
      <c r="M123" s="289" t="n"/>
      <c r="N123" s="352" t="n">
        <v>1412</v>
      </c>
      <c r="O123" s="289" t="inlineStr">
        <is>
          <t>Current/Notice/Vacant Residents</t>
        </is>
      </c>
    </row>
    <row r="124" ht="28.5" customHeight="1" s="234">
      <c r="A124" s="289" t="n"/>
      <c r="B124" s="289" t="n"/>
      <c r="C124" s="289" t="n"/>
      <c r="D124" s="289" t="n"/>
      <c r="E124" s="289" t="n"/>
      <c r="F124" s="352" t="n"/>
      <c r="G124" s="352" t="n"/>
      <c r="H124" s="352" t="n"/>
      <c r="I124" s="289" t="n"/>
      <c r="J124" s="289" t="n"/>
      <c r="K124" s="289" t="n"/>
      <c r="L124" s="352" t="n"/>
      <c r="M124" s="289" t="n"/>
      <c r="N124" s="352" t="n">
        <v>50</v>
      </c>
      <c r="O124" s="289" t="inlineStr">
        <is>
          <t>Current/Notice/Vacant Residents</t>
        </is>
      </c>
    </row>
    <row r="125" ht="28.5" customHeight="1" s="234">
      <c r="A125" s="289" t="n"/>
      <c r="B125" s="289" t="n"/>
      <c r="C125" s="289" t="n"/>
      <c r="D125" s="289" t="n"/>
      <c r="E125" s="289" t="n"/>
      <c r="F125" s="352" t="n"/>
      <c r="G125" s="352" t="n"/>
      <c r="H125" s="352" t="n"/>
      <c r="I125" s="289" t="n"/>
      <c r="J125" s="289" t="n"/>
      <c r="K125" s="289" t="n"/>
      <c r="L125" s="352" t="n"/>
      <c r="M125" s="289" t="n"/>
      <c r="N125" s="352" t="n">
        <v>40</v>
      </c>
      <c r="O125" s="289" t="inlineStr">
        <is>
          <t>Current/Notice/Vacant Residents</t>
        </is>
      </c>
    </row>
    <row r="126" ht="28.5" customHeight="1" s="234">
      <c r="A126" s="289" t="n"/>
      <c r="B126" s="289" t="n"/>
      <c r="C126" s="289" t="n"/>
      <c r="D126" s="289" t="n"/>
      <c r="E126" s="289" t="n"/>
      <c r="F126" s="352" t="n"/>
      <c r="G126" s="352" t="n"/>
      <c r="H126" s="352" t="n"/>
      <c r="I126" s="289" t="n"/>
      <c r="J126" s="289" t="n"/>
      <c r="K126" s="289" t="n"/>
      <c r="L126" s="352" t="n"/>
      <c r="M126" s="289" t="n"/>
      <c r="N126" s="352" t="n">
        <v>-27</v>
      </c>
      <c r="O126" s="289" t="inlineStr">
        <is>
          <t>Current/Notice/Vacant Residents</t>
        </is>
      </c>
    </row>
    <row r="127" ht="28.5" customHeight="1" s="234">
      <c r="A127" s="289" t="n"/>
      <c r="B127" s="289" t="n"/>
      <c r="C127" s="289" t="n"/>
      <c r="D127" s="289" t="n"/>
      <c r="E127" s="289" t="n"/>
      <c r="F127" s="352" t="n"/>
      <c r="G127" s="352" t="n"/>
      <c r="H127" s="352" t="n"/>
      <c r="I127" s="289" t="n"/>
      <c r="J127" s="289" t="n"/>
      <c r="K127" s="289" t="n"/>
      <c r="L127" s="352" t="n"/>
      <c r="M127" s="289" t="n"/>
      <c r="N127" s="352" t="n">
        <v>163</v>
      </c>
      <c r="O127" s="289" t="inlineStr">
        <is>
          <t>Current/Notice/Vacant Residents</t>
        </is>
      </c>
    </row>
    <row r="128">
      <c r="A128" s="289" t="n"/>
      <c r="B128" s="289" t="n"/>
      <c r="C128" s="289" t="n"/>
      <c r="D128" s="289" t="n"/>
      <c r="E128" s="289" t="n"/>
      <c r="F128" s="352" t="n"/>
      <c r="G128" s="352" t="n"/>
      <c r="H128" s="352" t="n"/>
      <c r="I128" s="289" t="n"/>
      <c r="J128" s="289" t="n"/>
      <c r="K128" s="289" t="n"/>
      <c r="L128" s="352" t="n"/>
      <c r="M128" s="289" t="n"/>
      <c r="N128" s="352" t="n">
        <v>1487</v>
      </c>
      <c r="O128" s="289" t="inlineStr">
        <is>
          <t>Current/Notice/Vacant Residents</t>
        </is>
      </c>
    </row>
    <row r="129" ht="28.5" customHeight="1" s="234">
      <c r="A129" s="289" t="n"/>
      <c r="B129" s="289" t="n"/>
      <c r="C129" s="289" t="n"/>
      <c r="D129" s="289" t="n"/>
      <c r="E129" s="289" t="n"/>
      <c r="F129" s="352" t="n"/>
      <c r="G129" s="352" t="n"/>
      <c r="H129" s="352" t="n"/>
      <c r="I129" s="289" t="n"/>
      <c r="J129" s="289" t="n"/>
      <c r="K129" s="289" t="n"/>
      <c r="L129" s="352" t="n"/>
      <c r="M129" s="289" t="n"/>
      <c r="N129" s="352" t="n">
        <v>176</v>
      </c>
      <c r="O129" s="289" t="inlineStr">
        <is>
          <t>Current/Notice/Vacant Residents</t>
        </is>
      </c>
    </row>
    <row r="130" ht="28.5" customHeight="1" s="234">
      <c r="A130" s="289" t="n"/>
      <c r="B130" s="289" t="n"/>
      <c r="C130" s="289" t="n"/>
      <c r="D130" s="289" t="n"/>
      <c r="E130" s="289" t="n"/>
      <c r="F130" s="352" t="n"/>
      <c r="G130" s="352" t="n"/>
      <c r="H130" s="352" t="n"/>
      <c r="I130" s="289" t="n"/>
      <c r="J130" s="289" t="n"/>
      <c r="K130" s="289" t="n"/>
      <c r="L130" s="352" t="n"/>
      <c r="M130" s="289" t="n"/>
      <c r="N130" s="352" t="n">
        <v>-16</v>
      </c>
      <c r="O130" s="289" t="inlineStr">
        <is>
          <t>Current/Notice/Vacant Residents</t>
        </is>
      </c>
    </row>
    <row r="131" ht="28.5" customHeight="1" s="234">
      <c r="A131" s="289" t="n"/>
      <c r="B131" s="289" t="n"/>
      <c r="C131" s="289" t="n"/>
      <c r="D131" s="289" t="n"/>
      <c r="E131" s="289" t="n"/>
      <c r="F131" s="352" t="n"/>
      <c r="G131" s="352" t="n"/>
      <c r="H131" s="352" t="n"/>
      <c r="I131" s="289" t="n"/>
      <c r="J131" s="289" t="n"/>
      <c r="K131" s="289" t="n"/>
      <c r="L131" s="352" t="n"/>
      <c r="M131" s="289" t="n"/>
      <c r="N131" s="352" t="n">
        <v>-79</v>
      </c>
      <c r="O131" s="289" t="inlineStr">
        <is>
          <t>Current/Notice/Vacant Residents</t>
        </is>
      </c>
    </row>
    <row r="132" ht="28.5" customHeight="1" s="234">
      <c r="A132" s="289" t="n"/>
      <c r="B132" s="289" t="n"/>
      <c r="C132" s="289" t="n"/>
      <c r="D132" s="289" t="n"/>
      <c r="E132" s="289" t="n"/>
      <c r="F132" s="352" t="n"/>
      <c r="G132" s="352" t="n"/>
      <c r="H132" s="352" t="n"/>
      <c r="I132" s="289" t="n"/>
      <c r="J132" s="289" t="n"/>
      <c r="K132" s="289" t="n"/>
      <c r="L132" s="352" t="n"/>
      <c r="M132" s="289" t="n"/>
      <c r="N132" s="352" t="n">
        <v>3</v>
      </c>
      <c r="O132" s="289" t="inlineStr">
        <is>
          <t>Current/Notice/Vacant Residents</t>
        </is>
      </c>
    </row>
    <row r="133" ht="28.5" customHeight="1" s="234">
      <c r="A133" s="289" t="n"/>
      <c r="B133" s="289" t="n"/>
      <c r="C133" s="289" t="n"/>
      <c r="D133" s="289" t="n"/>
      <c r="E133" s="289" t="n"/>
      <c r="F133" s="352" t="n"/>
      <c r="G133" s="352" t="n"/>
      <c r="H133" s="352" t="n"/>
      <c r="I133" s="289" t="n"/>
      <c r="J133" s="289" t="n"/>
      <c r="K133" s="289" t="n"/>
      <c r="L133" s="352" t="n"/>
      <c r="M133" s="289" t="n"/>
      <c r="N133" s="352" t="n">
        <v>28</v>
      </c>
      <c r="O133" s="289" t="inlineStr">
        <is>
          <t>Current/Notice/Vacant Residents</t>
        </is>
      </c>
    </row>
    <row r="134" ht="28.5" customHeight="1" s="234">
      <c r="A134" s="289" t="n"/>
      <c r="B134" s="289" t="n"/>
      <c r="C134" s="289" t="n"/>
      <c r="D134" s="289" t="n"/>
      <c r="E134" s="289" t="n"/>
      <c r="F134" s="352" t="n"/>
      <c r="G134" s="352" t="n"/>
      <c r="H134" s="352" t="n"/>
      <c r="I134" s="289" t="n"/>
      <c r="J134" s="289" t="n"/>
      <c r="K134" s="289" t="n"/>
      <c r="L134" s="352" t="n"/>
      <c r="M134" s="289" t="n"/>
      <c r="N134" s="352" t="n">
        <v>86</v>
      </c>
      <c r="O134" s="289" t="inlineStr">
        <is>
          <t>Current/Notice/Vacant Residents</t>
        </is>
      </c>
    </row>
    <row r="135" ht="28.5" customHeight="1" s="234">
      <c r="A135" s="289" t="n"/>
      <c r="B135" s="289" t="n"/>
      <c r="C135" s="289" t="n"/>
      <c r="D135" s="289" t="n"/>
      <c r="E135" s="289" t="n"/>
      <c r="F135" s="352" t="n"/>
      <c r="G135" s="352" t="n"/>
      <c r="H135" s="352" t="n"/>
      <c r="I135" s="289" t="n"/>
      <c r="J135" s="289" t="n"/>
      <c r="K135" s="289" t="n"/>
      <c r="L135" s="352" t="n"/>
      <c r="M135" s="289" t="n"/>
      <c r="N135" s="352" t="n">
        <v>-147</v>
      </c>
      <c r="O135" s="289" t="inlineStr">
        <is>
          <t>Current/Notice/Vacant Residents</t>
        </is>
      </c>
    </row>
    <row r="136" ht="28.5" customHeight="1" s="234">
      <c r="A136" s="289" t="n"/>
      <c r="B136" s="289" t="n"/>
      <c r="C136" s="289" t="n"/>
      <c r="D136" s="289" t="n"/>
      <c r="E136" s="289" t="n"/>
      <c r="F136" s="352" t="n"/>
      <c r="G136" s="352" t="n"/>
      <c r="H136" s="352" t="n"/>
      <c r="I136" s="289" t="n"/>
      <c r="J136" s="289" t="n"/>
      <c r="K136" s="289" t="n"/>
      <c r="L136" s="352" t="n"/>
      <c r="M136" s="289" t="n"/>
      <c r="N136" s="352" t="n">
        <v>-127</v>
      </c>
      <c r="O136" s="289" t="inlineStr">
        <is>
          <t>Current/Notice/Vacant Residents</t>
        </is>
      </c>
    </row>
    <row r="137" ht="28.5" customHeight="1" s="234">
      <c r="A137" s="289" t="n"/>
      <c r="B137" s="289" t="n"/>
      <c r="C137" s="289" t="n"/>
      <c r="D137" s="289" t="n"/>
      <c r="E137" s="289" t="n"/>
      <c r="F137" s="352" t="n"/>
      <c r="G137" s="352" t="n"/>
      <c r="H137" s="352" t="n"/>
      <c r="I137" s="289" t="n"/>
      <c r="J137" s="289" t="n"/>
      <c r="K137" s="289" t="n"/>
      <c r="L137" s="352" t="n"/>
      <c r="M137" s="289" t="n"/>
      <c r="N137" s="352" t="n">
        <v>4</v>
      </c>
      <c r="O137" s="289" t="inlineStr">
        <is>
          <t>Current/Notice/Vacant Residents</t>
        </is>
      </c>
    </row>
    <row r="138" ht="28.5" customHeight="1" s="234">
      <c r="A138" s="289" t="n"/>
      <c r="B138" s="289" t="n"/>
      <c r="C138" s="289" t="n"/>
      <c r="D138" s="289" t="n"/>
      <c r="E138" s="289" t="n"/>
      <c r="F138" s="352" t="n"/>
      <c r="G138" s="352" t="n"/>
      <c r="H138" s="352" t="n"/>
      <c r="I138" s="289" t="n"/>
      <c r="J138" s="289" t="n"/>
      <c r="K138" s="289" t="n"/>
      <c r="L138" s="352" t="n"/>
      <c r="M138" s="289" t="n"/>
      <c r="N138" s="352" t="n">
        <v>-36</v>
      </c>
      <c r="O138" s="289" t="inlineStr">
        <is>
          <t>Current/Notice/Vacant Residents</t>
        </is>
      </c>
    </row>
    <row r="139" ht="28.5" customHeight="1" s="234">
      <c r="A139" s="289" t="n"/>
      <c r="B139" s="289" t="n"/>
      <c r="C139" s="289" t="n"/>
      <c r="D139" s="289" t="n"/>
      <c r="E139" s="289" t="n"/>
      <c r="F139" s="352" t="n"/>
      <c r="G139" s="352" t="n"/>
      <c r="H139" s="352" t="n"/>
      <c r="I139" s="289" t="n"/>
      <c r="J139" s="289" t="n"/>
      <c r="K139" s="289" t="n"/>
      <c r="L139" s="352" t="n"/>
      <c r="M139" s="289" t="n"/>
      <c r="N139" s="352" t="n">
        <v>-105</v>
      </c>
      <c r="O139" s="289" t="inlineStr">
        <is>
          <t>Current/Notice/Vacant Residents</t>
        </is>
      </c>
    </row>
    <row r="140" ht="28.5" customHeight="1" s="234">
      <c r="A140" s="289" t="n"/>
      <c r="B140" s="289" t="n"/>
      <c r="C140" s="289" t="n"/>
      <c r="D140" s="289" t="n"/>
      <c r="E140" s="289" t="n"/>
      <c r="F140" s="352" t="n"/>
      <c r="G140" s="352" t="n"/>
      <c r="H140" s="352" t="n"/>
      <c r="I140" s="289" t="n"/>
      <c r="J140" s="289" t="n"/>
      <c r="K140" s="289" t="n"/>
      <c r="L140" s="352" t="n"/>
      <c r="M140" s="289" t="n"/>
      <c r="N140" s="352" t="n">
        <v>102</v>
      </c>
      <c r="O140" s="289" t="inlineStr">
        <is>
          <t>Current/Notice/Vacant Residents</t>
        </is>
      </c>
    </row>
    <row r="141" ht="28.5" customHeight="1" s="234">
      <c r="A141" s="289" t="n"/>
      <c r="B141" s="289" t="n"/>
      <c r="C141" s="289" t="n"/>
      <c r="D141" s="289" t="n"/>
      <c r="E141" s="289" t="n"/>
      <c r="F141" s="352" t="n"/>
      <c r="G141" s="352" t="n"/>
      <c r="H141" s="352" t="n"/>
      <c r="I141" s="289" t="n"/>
      <c r="J141" s="289" t="n"/>
      <c r="K141" s="289" t="n"/>
      <c r="L141" s="352" t="n"/>
      <c r="M141" s="289" t="n"/>
      <c r="N141" s="352" t="n">
        <v>-56</v>
      </c>
      <c r="O141" s="289" t="inlineStr">
        <is>
          <t>Current/Notice/Vacant Residents</t>
        </is>
      </c>
    </row>
    <row r="142" ht="28.5" customHeight="1" s="234">
      <c r="A142" s="289" t="n"/>
      <c r="B142" s="289" t="n"/>
      <c r="C142" s="289" t="n"/>
      <c r="D142" s="289" t="n"/>
      <c r="E142" s="289" t="n"/>
      <c r="F142" s="352" t="n"/>
      <c r="G142" s="352" t="n"/>
      <c r="H142" s="352" t="n"/>
      <c r="I142" s="289" t="n"/>
      <c r="J142" s="289" t="n"/>
      <c r="K142" s="289" t="n"/>
      <c r="L142" s="352" t="n"/>
      <c r="M142" s="289" t="n"/>
      <c r="N142" s="352" t="n">
        <v>-156</v>
      </c>
      <c r="O142" s="289" t="inlineStr">
        <is>
          <t>Current/Notice/Vacant Residents</t>
        </is>
      </c>
    </row>
    <row r="143" ht="28.5" customHeight="1" s="234">
      <c r="A143" s="289" t="n"/>
      <c r="B143" s="289" t="n"/>
      <c r="C143" s="289" t="n"/>
      <c r="D143" s="289" t="n"/>
      <c r="E143" s="289" t="n"/>
      <c r="F143" s="352" t="n"/>
      <c r="G143" s="352" t="n"/>
      <c r="H143" s="352" t="n"/>
      <c r="I143" s="289" t="n"/>
      <c r="J143" s="289" t="n"/>
      <c r="K143" s="289" t="n"/>
      <c r="L143" s="352" t="n"/>
      <c r="M143" s="289" t="n"/>
      <c r="N143" s="352" t="n">
        <v>-153</v>
      </c>
      <c r="O143" s="289" t="inlineStr">
        <is>
          <t>Current/Notice/Vacant Residents</t>
        </is>
      </c>
    </row>
    <row r="144" ht="28.5" customHeight="1" s="234">
      <c r="A144" s="289" t="n"/>
      <c r="B144" s="289" t="n"/>
      <c r="C144" s="289" t="n"/>
      <c r="D144" s="289" t="n"/>
      <c r="E144" s="289" t="n"/>
      <c r="F144" s="352" t="n"/>
      <c r="G144" s="352" t="n"/>
      <c r="H144" s="352" t="n"/>
      <c r="I144" s="289" t="n"/>
      <c r="J144" s="289" t="n"/>
      <c r="K144" s="289" t="n"/>
      <c r="L144" s="352" t="n"/>
      <c r="M144" s="289" t="n"/>
      <c r="N144" s="352" t="n">
        <v>-34</v>
      </c>
      <c r="O144" s="289" t="inlineStr">
        <is>
          <t>Current/Notice/Vacant Residents</t>
        </is>
      </c>
    </row>
    <row r="145" ht="28.5" customHeight="1" s="234">
      <c r="A145" s="289" t="n"/>
      <c r="B145" s="289" t="n"/>
      <c r="C145" s="289" t="n"/>
      <c r="D145" s="289" t="n"/>
      <c r="E145" s="289" t="n"/>
      <c r="F145" s="352" t="n"/>
      <c r="G145" s="352" t="n"/>
      <c r="H145" s="352" t="n"/>
      <c r="I145" s="289" t="n"/>
      <c r="J145" s="289" t="n"/>
      <c r="K145" s="289" t="n"/>
      <c r="L145" s="352" t="n"/>
      <c r="M145" s="289" t="n"/>
      <c r="N145" s="352" t="n">
        <v>-183</v>
      </c>
      <c r="O145" s="289" t="inlineStr">
        <is>
          <t>Current/Notice/Vacant Residents</t>
        </is>
      </c>
    </row>
    <row r="146" ht="28.5" customHeight="1" s="234">
      <c r="A146" s="289" t="n"/>
      <c r="B146" s="289" t="n"/>
      <c r="C146" s="289" t="n"/>
      <c r="D146" s="289" t="n"/>
      <c r="E146" s="289" t="n"/>
      <c r="F146" s="352" t="n"/>
      <c r="G146" s="352" t="n"/>
      <c r="H146" s="352" t="n"/>
      <c r="I146" s="289" t="n"/>
      <c r="J146" s="289" t="n"/>
      <c r="K146" s="289" t="n"/>
      <c r="L146" s="352" t="n"/>
      <c r="M146" s="289" t="n"/>
      <c r="N146" s="352" t="n">
        <v>-97</v>
      </c>
      <c r="O146" s="289" t="inlineStr">
        <is>
          <t>Current/Notice/Vacant Residents</t>
        </is>
      </c>
    </row>
    <row r="147" ht="28.5" customHeight="1" s="234">
      <c r="A147" s="289" t="n"/>
      <c r="B147" s="289" t="n"/>
      <c r="C147" s="289" t="n"/>
      <c r="D147" s="289" t="n"/>
      <c r="E147" s="289" t="n"/>
      <c r="F147" s="352" t="n"/>
      <c r="G147" s="352" t="n"/>
      <c r="H147" s="352" t="n"/>
      <c r="I147" s="289" t="n"/>
      <c r="J147" s="289" t="n"/>
      <c r="K147" s="289" t="n"/>
      <c r="L147" s="352" t="n"/>
      <c r="M147" s="289" t="n"/>
      <c r="N147" s="352" t="n">
        <v>8</v>
      </c>
      <c r="O147" s="289" t="inlineStr">
        <is>
          <t>Current/Notice/Vacant Residents</t>
        </is>
      </c>
    </row>
    <row r="148" ht="28.5" customHeight="1" s="234">
      <c r="A148" s="289" t="n"/>
      <c r="B148" s="289" t="n"/>
      <c r="C148" s="289" t="n"/>
      <c r="D148" s="289" t="n"/>
      <c r="E148" s="289" t="n"/>
      <c r="F148" s="352" t="n"/>
      <c r="G148" s="352" t="n"/>
      <c r="H148" s="352" t="n"/>
      <c r="I148" s="289" t="n"/>
      <c r="J148" s="289" t="n"/>
      <c r="K148" s="289" t="n"/>
      <c r="L148" s="352" t="n"/>
      <c r="M148" s="289" t="n"/>
      <c r="N148" s="352" t="n">
        <v>-27</v>
      </c>
      <c r="O148" s="289" t="inlineStr">
        <is>
          <t>Current/Notice/Vacant Residents</t>
        </is>
      </c>
    </row>
    <row r="149" ht="28.5" customHeight="1" s="234">
      <c r="A149" s="289" t="n"/>
      <c r="B149" s="289" t="n"/>
      <c r="C149" s="289" t="n"/>
      <c r="D149" s="289" t="n"/>
      <c r="E149" s="289" t="n"/>
      <c r="F149" s="352" t="n"/>
      <c r="G149" s="352" t="n"/>
      <c r="H149" s="352" t="n"/>
      <c r="I149" s="289" t="n"/>
      <c r="J149" s="289" t="n"/>
      <c r="K149" s="289" t="n"/>
      <c r="L149" s="352" t="n"/>
      <c r="M149" s="289" t="n"/>
      <c r="N149" s="352" t="n">
        <v>69</v>
      </c>
      <c r="O149" s="289" t="inlineStr">
        <is>
          <t>Current/Notice/Vacant Residents</t>
        </is>
      </c>
    </row>
    <row r="150" ht="28.5" customHeight="1" s="234">
      <c r="A150" s="289" t="n"/>
      <c r="B150" s="289" t="n"/>
      <c r="C150" s="289" t="n"/>
      <c r="D150" s="289" t="n"/>
      <c r="E150" s="289" t="n"/>
      <c r="F150" s="352" t="n"/>
      <c r="G150" s="352" t="n"/>
      <c r="H150" s="352" t="n"/>
      <c r="I150" s="289" t="n"/>
      <c r="J150" s="289" t="n"/>
      <c r="K150" s="289" t="n"/>
      <c r="L150" s="352" t="n"/>
      <c r="M150" s="289" t="n"/>
      <c r="N150" s="352" t="n">
        <v>5</v>
      </c>
      <c r="O150" s="289" t="inlineStr">
        <is>
          <t>Current/Notice/Vacant Residents</t>
        </is>
      </c>
    </row>
    <row r="151" ht="28.5" customHeight="1" s="234">
      <c r="A151" s="289" t="n"/>
      <c r="B151" s="289" t="n"/>
      <c r="C151" s="289" t="n"/>
      <c r="D151" s="289" t="n"/>
      <c r="E151" s="289" t="n"/>
      <c r="F151" s="352" t="n"/>
      <c r="G151" s="352" t="n"/>
      <c r="H151" s="352" t="n"/>
      <c r="I151" s="289" t="n"/>
      <c r="J151" s="289" t="n"/>
      <c r="K151" s="289" t="n"/>
      <c r="L151" s="352" t="n"/>
      <c r="M151" s="289" t="n"/>
      <c r="N151" s="352" t="n">
        <v>-99</v>
      </c>
      <c r="O151" s="289" t="inlineStr">
        <is>
          <t>Current/Notice/Vacant Residents</t>
        </is>
      </c>
    </row>
    <row r="152" ht="28.5" customHeight="1" s="234">
      <c r="A152" s="289" t="n"/>
      <c r="B152" s="289" t="n"/>
      <c r="C152" s="289" t="n"/>
      <c r="D152" s="289" t="n"/>
      <c r="E152" s="289" t="n"/>
      <c r="F152" s="352" t="n"/>
      <c r="G152" s="352" t="n"/>
      <c r="H152" s="352" t="n"/>
      <c r="I152" s="289" t="n"/>
      <c r="J152" s="289" t="n"/>
      <c r="K152" s="289" t="n"/>
      <c r="L152" s="352" t="n"/>
      <c r="M152" s="289" t="n"/>
      <c r="N152" s="352" t="n">
        <v>22</v>
      </c>
      <c r="O152" s="289" t="inlineStr">
        <is>
          <t>Current/Notice/Vacant Residents</t>
        </is>
      </c>
    </row>
    <row r="153" ht="28.5" customHeight="1" s="234">
      <c r="A153" s="289" t="n"/>
      <c r="B153" s="289" t="n"/>
      <c r="C153" s="289" t="n"/>
      <c r="D153" s="289" t="n"/>
      <c r="E153" s="289" t="n"/>
      <c r="F153" s="352" t="n"/>
      <c r="G153" s="352" t="n"/>
      <c r="H153" s="352" t="n"/>
      <c r="I153" s="289" t="n"/>
      <c r="J153" s="289" t="n"/>
      <c r="K153" s="289" t="n"/>
      <c r="L153" s="352" t="n"/>
      <c r="M153" s="289" t="n"/>
      <c r="N153" s="352" t="n">
        <v>-46</v>
      </c>
      <c r="O153" s="289" t="inlineStr">
        <is>
          <t>Current/Notice/Vacant Residents</t>
        </is>
      </c>
    </row>
    <row r="154" ht="28.5" customHeight="1" s="234">
      <c r="A154" s="289" t="n"/>
      <c r="B154" s="289" t="n"/>
      <c r="C154" s="289" t="n"/>
      <c r="D154" s="289" t="n"/>
      <c r="E154" s="289" t="n"/>
      <c r="F154" s="352" t="n"/>
      <c r="G154" s="352" t="n"/>
      <c r="H154" s="352" t="n"/>
      <c r="I154" s="289" t="n"/>
      <c r="J154" s="289" t="n"/>
      <c r="K154" s="289" t="n"/>
      <c r="L154" s="352" t="n"/>
      <c r="M154" s="289" t="n"/>
      <c r="N154" s="352" t="n">
        <v>-31</v>
      </c>
      <c r="O154" s="289" t="inlineStr">
        <is>
          <t>Current/Notice/Vacant Residents</t>
        </is>
      </c>
    </row>
    <row r="155" ht="28.5" customHeight="1" s="234">
      <c r="A155" s="289" t="n"/>
      <c r="B155" s="289" t="n"/>
      <c r="C155" s="289" t="n"/>
      <c r="D155" s="289" t="n"/>
      <c r="E155" s="289" t="n"/>
      <c r="F155" s="352" t="n"/>
      <c r="G155" s="352" t="n"/>
      <c r="H155" s="352" t="n"/>
      <c r="I155" s="289" t="n"/>
      <c r="J155" s="289" t="n"/>
      <c r="K155" s="289" t="n"/>
      <c r="L155" s="352" t="n"/>
      <c r="M155" s="289" t="n"/>
      <c r="N155" s="352" t="n">
        <v>-20</v>
      </c>
      <c r="O155" s="289" t="inlineStr">
        <is>
          <t>Current/Notice/Vacant Residents</t>
        </is>
      </c>
    </row>
    <row r="156" ht="28.5" customHeight="1" s="234">
      <c r="A156" s="289" t="n"/>
      <c r="B156" s="289" t="n"/>
      <c r="C156" s="289" t="n"/>
      <c r="D156" s="289" t="n"/>
      <c r="E156" s="289" t="n"/>
      <c r="F156" s="352" t="n"/>
      <c r="G156" s="352" t="n"/>
      <c r="H156" s="352" t="n"/>
      <c r="I156" s="289" t="n"/>
      <c r="J156" s="289" t="n"/>
      <c r="K156" s="289" t="n"/>
      <c r="L156" s="352" t="n"/>
      <c r="M156" s="289" t="n"/>
      <c r="N156" s="352" t="n">
        <v>185</v>
      </c>
      <c r="O156" s="289" t="inlineStr">
        <is>
          <t>Current/Notice/Vacant Residents</t>
        </is>
      </c>
    </row>
    <row r="157" ht="28.5" customHeight="1" s="234">
      <c r="A157" s="289" t="n"/>
      <c r="B157" s="289" t="n"/>
      <c r="C157" s="289" t="n"/>
      <c r="D157" s="289" t="n"/>
      <c r="E157" s="289" t="n"/>
      <c r="F157" s="352" t="n"/>
      <c r="G157" s="352" t="n"/>
      <c r="H157" s="352" t="n"/>
      <c r="I157" s="289" t="n"/>
      <c r="J157" s="289" t="n"/>
      <c r="K157" s="289" t="n"/>
      <c r="L157" s="352" t="n"/>
      <c r="M157" s="289" t="n"/>
      <c r="N157" s="352" t="n">
        <v>32</v>
      </c>
      <c r="O157" s="289" t="inlineStr">
        <is>
          <t>Current/Notice/Vacant Residents</t>
        </is>
      </c>
    </row>
    <row r="158">
      <c r="A158" s="289" t="n"/>
      <c r="B158" s="289" t="n"/>
      <c r="C158" s="289" t="n"/>
      <c r="D158" s="289" t="n"/>
      <c r="E158" s="289" t="n"/>
      <c r="F158" s="352" t="n"/>
      <c r="G158" s="352" t="n"/>
      <c r="H158" s="352" t="n"/>
      <c r="I158" s="289" t="n"/>
      <c r="J158" s="289" t="n"/>
      <c r="K158" s="289" t="n"/>
      <c r="L158" s="352" t="n"/>
      <c r="M158" s="289" t="n"/>
      <c r="N158" s="352" t="n">
        <v>1675</v>
      </c>
      <c r="O158" s="289" t="inlineStr">
        <is>
          <t>Current/Notice/Vacant Residents</t>
        </is>
      </c>
    </row>
    <row r="159" ht="28.5" customHeight="1" s="234">
      <c r="A159" s="289" t="n"/>
      <c r="B159" s="289" t="n"/>
      <c r="C159" s="289" t="n"/>
      <c r="D159" s="289" t="n"/>
      <c r="E159" s="289" t="n"/>
      <c r="F159" s="352" t="n"/>
      <c r="G159" s="352" t="n"/>
      <c r="H159" s="352" t="n"/>
      <c r="I159" s="289" t="n"/>
      <c r="J159" s="289" t="n"/>
      <c r="K159" s="289" t="n"/>
      <c r="L159" s="352" t="n"/>
      <c r="M159" s="289" t="n"/>
      <c r="N159" s="352" t="n">
        <v>-3</v>
      </c>
      <c r="O159" s="289" t="inlineStr">
        <is>
          <t>Current/Notice/Vacant Residents</t>
        </is>
      </c>
    </row>
    <row r="160" ht="28.5" customHeight="1" s="234">
      <c r="A160" s="289" t="n"/>
      <c r="B160" s="289" t="n"/>
      <c r="C160" s="289" t="n"/>
      <c r="D160" s="289" t="n"/>
      <c r="E160" s="289" t="n"/>
      <c r="F160" s="352" t="n"/>
      <c r="G160" s="352" t="n"/>
      <c r="H160" s="352" t="n"/>
      <c r="I160" s="289" t="n"/>
      <c r="J160" s="289" t="n"/>
      <c r="K160" s="289" t="n"/>
      <c r="L160" s="352" t="n"/>
      <c r="M160" s="289" t="n"/>
      <c r="N160" s="352" t="n">
        <v>11</v>
      </c>
      <c r="O160" s="289" t="inlineStr">
        <is>
          <t>Current/Notice/Vacant Residents</t>
        </is>
      </c>
    </row>
    <row r="161" ht="28.5" customHeight="1" s="234">
      <c r="A161" s="289" t="n"/>
      <c r="B161" s="289" t="n"/>
      <c r="C161" s="289" t="n"/>
      <c r="D161" s="289" t="n"/>
      <c r="E161" s="289" t="n"/>
      <c r="F161" s="352" t="n"/>
      <c r="G161" s="352" t="n"/>
      <c r="H161" s="352" t="n"/>
      <c r="I161" s="289" t="n"/>
      <c r="J161" s="289" t="n"/>
      <c r="K161" s="289" t="n"/>
      <c r="L161" s="352" t="n"/>
      <c r="M161" s="289" t="n"/>
      <c r="N161" s="352" t="n">
        <v>74</v>
      </c>
      <c r="O161" s="289" t="inlineStr">
        <is>
          <t>Current/Notice/Vacant Residents</t>
        </is>
      </c>
    </row>
    <row r="162" ht="28.5" customHeight="1" s="234">
      <c r="A162" s="289" t="n"/>
      <c r="B162" s="289" t="n"/>
      <c r="C162" s="289" t="n"/>
      <c r="D162" s="289" t="n"/>
      <c r="E162" s="289" t="n"/>
      <c r="F162" s="352" t="n"/>
      <c r="G162" s="352" t="n"/>
      <c r="H162" s="352" t="n"/>
      <c r="I162" s="289" t="n"/>
      <c r="J162" s="289" t="n"/>
      <c r="K162" s="289" t="n"/>
      <c r="L162" s="352" t="n"/>
      <c r="M162" s="289" t="n"/>
      <c r="N162" s="352" t="n">
        <v>176</v>
      </c>
      <c r="O162" s="289" t="inlineStr">
        <is>
          <t>Current/Notice/Vacant Residents</t>
        </is>
      </c>
    </row>
    <row r="163" ht="28.5" customHeight="1" s="234">
      <c r="A163" s="289" t="n"/>
      <c r="B163" s="289" t="n"/>
      <c r="C163" s="289" t="n"/>
      <c r="D163" s="289" t="n"/>
      <c r="E163" s="289" t="n"/>
      <c r="F163" s="352" t="n"/>
      <c r="G163" s="352" t="n"/>
      <c r="H163" s="352" t="n"/>
      <c r="I163" s="289" t="n"/>
      <c r="J163" s="289" t="n"/>
      <c r="K163" s="289" t="n"/>
      <c r="L163" s="352" t="n"/>
      <c r="M163" s="289" t="n"/>
      <c r="N163" s="352" t="n">
        <v>3</v>
      </c>
      <c r="O163" s="289" t="inlineStr">
        <is>
          <t>Current/Notice/Vacant Residents</t>
        </is>
      </c>
    </row>
    <row r="164" ht="28.5" customHeight="1" s="234">
      <c r="A164" s="289" t="n"/>
      <c r="B164" s="289" t="n"/>
      <c r="C164" s="289" t="n"/>
      <c r="D164" s="289" t="n"/>
      <c r="E164" s="289" t="n"/>
      <c r="F164" s="352" t="n"/>
      <c r="G164" s="352" t="n"/>
      <c r="H164" s="352" t="n"/>
      <c r="I164" s="289" t="n"/>
      <c r="J164" s="289" t="n"/>
      <c r="K164" s="289" t="n"/>
      <c r="L164" s="352" t="n"/>
      <c r="M164" s="289" t="n"/>
      <c r="N164" s="352" t="n">
        <v>58</v>
      </c>
      <c r="O164" s="289" t="inlineStr">
        <is>
          <t>Current/Notice/Vacant Residents</t>
        </is>
      </c>
    </row>
    <row r="165">
      <c r="A165" s="289" t="n"/>
      <c r="B165" s="289" t="n"/>
      <c r="C165" s="289" t="n"/>
      <c r="D165" s="289" t="n"/>
      <c r="E165" s="289" t="n"/>
      <c r="F165" s="352" t="n"/>
      <c r="G165" s="352" t="n"/>
      <c r="H165" s="352" t="n"/>
      <c r="I165" s="289" t="n"/>
      <c r="J165" s="289" t="n"/>
      <c r="K165" s="289" t="n"/>
      <c r="L165" s="352" t="n"/>
      <c r="M165" s="289" t="n"/>
      <c r="N165" s="352" t="n">
        <v>1675</v>
      </c>
      <c r="O165" s="289" t="inlineStr">
        <is>
          <t>Current/Notice/Vacant Residents</t>
        </is>
      </c>
    </row>
    <row r="166" ht="28.5" customHeight="1" s="234">
      <c r="A166" s="289" t="n"/>
      <c r="B166" s="289" t="n"/>
      <c r="C166" s="289" t="n"/>
      <c r="D166" s="289" t="n"/>
      <c r="E166" s="289" t="n"/>
      <c r="F166" s="352" t="n"/>
      <c r="G166" s="352" t="n"/>
      <c r="H166" s="352" t="n"/>
      <c r="I166" s="289" t="n"/>
      <c r="J166" s="289" t="n"/>
      <c r="K166" s="289" t="n"/>
      <c r="L166" s="352" t="n"/>
      <c r="M166" s="289" t="n"/>
      <c r="N166" s="352" t="n">
        <v>75</v>
      </c>
      <c r="O166" s="289" t="inlineStr">
        <is>
          <t>Current/Notice/Vacant Residents</t>
        </is>
      </c>
    </row>
    <row r="167" ht="28.5" customHeight="1" s="234">
      <c r="A167" s="289" t="n"/>
      <c r="B167" s="289" t="n"/>
      <c r="C167" s="289" t="n"/>
      <c r="D167" s="289" t="n"/>
      <c r="E167" s="289" t="n"/>
      <c r="F167" s="352" t="n"/>
      <c r="G167" s="352" t="n"/>
      <c r="H167" s="352" t="n"/>
      <c r="I167" s="289" t="n"/>
      <c r="J167" s="289" t="n"/>
      <c r="K167" s="289" t="n"/>
      <c r="L167" s="352" t="n"/>
      <c r="M167" s="289" t="n"/>
      <c r="N167" s="352" t="n">
        <v>-127</v>
      </c>
      <c r="O167" s="289" t="inlineStr">
        <is>
          <t>Current/Notice/Vacant Residents</t>
        </is>
      </c>
    </row>
    <row r="168" ht="28.5" customHeight="1" s="234">
      <c r="A168" s="289" t="n"/>
      <c r="B168" s="289" t="n"/>
      <c r="C168" s="289" t="n"/>
      <c r="D168" s="289" t="n"/>
      <c r="E168" s="289" t="n"/>
      <c r="F168" s="352" t="n"/>
      <c r="G168" s="352" t="n"/>
      <c r="H168" s="352" t="n"/>
      <c r="I168" s="289" t="n"/>
      <c r="J168" s="289" t="n"/>
      <c r="K168" s="289" t="n"/>
      <c r="L168" s="352" t="n"/>
      <c r="M168" s="289" t="n"/>
      <c r="N168" s="352" t="n">
        <v>-41</v>
      </c>
      <c r="O168" s="289" t="inlineStr">
        <is>
          <t>Current/Notice/Vacant Residents</t>
        </is>
      </c>
    </row>
    <row r="169" ht="28.5" customHeight="1" s="234">
      <c r="A169" s="289" t="n"/>
      <c r="B169" s="289" t="n"/>
      <c r="C169" s="289" t="n"/>
      <c r="D169" s="289" t="n"/>
      <c r="E169" s="289" t="n"/>
      <c r="F169" s="352" t="n"/>
      <c r="G169" s="352" t="n"/>
      <c r="H169" s="352" t="n"/>
      <c r="I169" s="289" t="n"/>
      <c r="J169" s="289" t="n"/>
      <c r="K169" s="289" t="n"/>
      <c r="L169" s="352" t="n"/>
      <c r="M169" s="289" t="n"/>
      <c r="N169" s="352" t="n">
        <v>-3</v>
      </c>
      <c r="O169" s="289" t="inlineStr">
        <is>
          <t>Current/Notice/Vacant Residents</t>
        </is>
      </c>
    </row>
    <row r="170" ht="28.5" customHeight="1" s="234">
      <c r="A170" s="289" t="n"/>
      <c r="B170" s="289" t="n"/>
      <c r="C170" s="289" t="n"/>
      <c r="D170" s="289" t="n"/>
      <c r="E170" s="289" t="n"/>
      <c r="F170" s="352" t="n"/>
      <c r="G170" s="352" t="n"/>
      <c r="H170" s="352" t="n"/>
      <c r="I170" s="289" t="n"/>
      <c r="J170" s="289" t="n"/>
      <c r="K170" s="289" t="n"/>
      <c r="L170" s="352" t="n"/>
      <c r="M170" s="289" t="n"/>
      <c r="N170" s="352" t="n">
        <v>4</v>
      </c>
      <c r="O170" s="289" t="inlineStr">
        <is>
          <t>Current/Notice/Vacant Residents</t>
        </is>
      </c>
    </row>
    <row r="171" ht="28.5" customHeight="1" s="234">
      <c r="A171" s="289" t="n"/>
      <c r="B171" s="289" t="n"/>
      <c r="C171" s="289" t="n"/>
      <c r="D171" s="289" t="n"/>
      <c r="E171" s="289" t="n"/>
      <c r="F171" s="352" t="n"/>
      <c r="G171" s="352" t="n"/>
      <c r="H171" s="352" t="n"/>
      <c r="I171" s="289" t="n"/>
      <c r="J171" s="289" t="n"/>
      <c r="K171" s="289" t="n"/>
      <c r="L171" s="352" t="n"/>
      <c r="M171" s="289" t="n"/>
      <c r="N171" s="352" t="n">
        <v>75</v>
      </c>
      <c r="O171" s="289" t="inlineStr">
        <is>
          <t>Current/Notice/Vacant Residents</t>
        </is>
      </c>
    </row>
    <row r="172" ht="28.5" customHeight="1" s="234">
      <c r="A172" s="289" t="n"/>
      <c r="B172" s="289" t="n"/>
      <c r="C172" s="289" t="n"/>
      <c r="D172" s="289" t="n"/>
      <c r="E172" s="289" t="n"/>
      <c r="F172" s="352" t="n"/>
      <c r="G172" s="352" t="n"/>
      <c r="H172" s="352" t="n"/>
      <c r="I172" s="289" t="n"/>
      <c r="J172" s="289" t="n"/>
      <c r="K172" s="289" t="n"/>
      <c r="L172" s="352" t="n"/>
      <c r="M172" s="289" t="n"/>
      <c r="N172" s="352" t="n">
        <v>-41</v>
      </c>
      <c r="O172" s="289" t="inlineStr">
        <is>
          <t>Current/Notice/Vacant Residents</t>
        </is>
      </c>
    </row>
    <row r="173" ht="28.5" customHeight="1" s="234">
      <c r="A173" s="289" t="n"/>
      <c r="B173" s="289" t="n"/>
      <c r="C173" s="289" t="n"/>
      <c r="D173" s="289" t="n"/>
      <c r="E173" s="289" t="n"/>
      <c r="F173" s="352" t="n"/>
      <c r="G173" s="352" t="n"/>
      <c r="H173" s="352" t="n"/>
      <c r="I173" s="289" t="n"/>
      <c r="J173" s="289" t="n"/>
      <c r="K173" s="289" t="n"/>
      <c r="L173" s="352" t="n"/>
      <c r="M173" s="289" t="n"/>
      <c r="N173" s="352" t="n">
        <v>11</v>
      </c>
      <c r="O173" s="289" t="inlineStr">
        <is>
          <t>Current/Notice/Vacant Residents</t>
        </is>
      </c>
    </row>
    <row r="174" ht="28.5" customHeight="1" s="234">
      <c r="A174" s="289" t="n"/>
      <c r="B174" s="289" t="n"/>
      <c r="C174" s="289" t="n"/>
      <c r="D174" s="289" t="n"/>
      <c r="E174" s="289" t="n"/>
      <c r="F174" s="352" t="n"/>
      <c r="G174" s="352" t="n"/>
      <c r="H174" s="352" t="n"/>
      <c r="I174" s="289" t="n"/>
      <c r="J174" s="289" t="n"/>
      <c r="K174" s="289" t="n"/>
      <c r="L174" s="352" t="n"/>
      <c r="M174" s="289" t="n"/>
      <c r="N174" s="352" t="n">
        <v>53</v>
      </c>
      <c r="O174" s="289" t="inlineStr">
        <is>
          <t>Current/Notice/Vacant Residents</t>
        </is>
      </c>
    </row>
    <row r="175" ht="28.5" customHeight="1" s="234">
      <c r="A175" s="289" t="n"/>
      <c r="B175" s="289" t="n"/>
      <c r="C175" s="289" t="n"/>
      <c r="D175" s="289" t="n"/>
      <c r="E175" s="289" t="n"/>
      <c r="F175" s="352" t="n"/>
      <c r="G175" s="352" t="n"/>
      <c r="H175" s="352" t="n"/>
      <c r="I175" s="289" t="n"/>
      <c r="J175" s="289" t="n"/>
      <c r="K175" s="289" t="n"/>
      <c r="L175" s="352" t="n"/>
      <c r="M175" s="289" t="n"/>
      <c r="N175" s="352" t="n">
        <v>-86</v>
      </c>
      <c r="O175" s="289" t="inlineStr">
        <is>
          <t>Current/Notice/Vacant Residents</t>
        </is>
      </c>
    </row>
    <row r="176" ht="28.5" customHeight="1" s="234">
      <c r="A176" s="289" t="n"/>
      <c r="B176" s="289" t="n"/>
      <c r="C176" s="289" t="n"/>
      <c r="D176" s="289" t="n"/>
      <c r="E176" s="289" t="n"/>
      <c r="F176" s="352" t="n"/>
      <c r="G176" s="352" t="n"/>
      <c r="H176" s="352" t="n"/>
      <c r="I176" s="289" t="n"/>
      <c r="J176" s="289" t="n"/>
      <c r="K176" s="289" t="n"/>
      <c r="L176" s="352" t="n"/>
      <c r="M176" s="289" t="n"/>
      <c r="N176" s="352" t="n">
        <v>-4</v>
      </c>
      <c r="O176" s="289" t="inlineStr">
        <is>
          <t>Current/Notice/Vacant Residents</t>
        </is>
      </c>
    </row>
    <row r="177" ht="28.5" customHeight="1" s="234">
      <c r="A177" s="289" t="n"/>
      <c r="B177" s="289" t="n"/>
      <c r="C177" s="289" t="n"/>
      <c r="D177" s="289" t="n"/>
      <c r="E177" s="289" t="n"/>
      <c r="F177" s="352" t="n"/>
      <c r="G177" s="352" t="n"/>
      <c r="H177" s="352" t="n"/>
      <c r="I177" s="289" t="n"/>
      <c r="J177" s="289" t="n"/>
      <c r="K177" s="289" t="n"/>
      <c r="L177" s="352" t="n"/>
      <c r="M177" s="289" t="n"/>
      <c r="N177" s="352" t="n">
        <v>-110</v>
      </c>
      <c r="O177" s="289" t="inlineStr">
        <is>
          <t>Current/Notice/Vacant Residents</t>
        </is>
      </c>
    </row>
    <row r="178" ht="28.5" customHeight="1" s="234">
      <c r="A178" s="289" t="n"/>
      <c r="B178" s="289" t="n"/>
      <c r="C178" s="289" t="n"/>
      <c r="D178" s="289" t="n"/>
      <c r="E178" s="289" t="n"/>
      <c r="F178" s="352" t="n"/>
      <c r="G178" s="352" t="n"/>
      <c r="H178" s="352" t="n"/>
      <c r="I178" s="289" t="n"/>
      <c r="J178" s="289" t="n"/>
      <c r="K178" s="289" t="n"/>
      <c r="L178" s="352" t="n"/>
      <c r="M178" s="289" t="n"/>
      <c r="N178" s="352" t="n">
        <v>-4</v>
      </c>
      <c r="O178" s="289" t="inlineStr">
        <is>
          <t>Current/Notice/Vacant Residents</t>
        </is>
      </c>
    </row>
    <row r="179" ht="28.5" customHeight="1" s="234">
      <c r="A179" s="289" t="n"/>
      <c r="B179" s="289" t="n"/>
      <c r="C179" s="289" t="n"/>
      <c r="D179" s="289" t="n"/>
      <c r="E179" s="289" t="n"/>
      <c r="F179" s="352" t="n"/>
      <c r="G179" s="352" t="n"/>
      <c r="H179" s="352" t="n"/>
      <c r="I179" s="289" t="n"/>
      <c r="J179" s="289" t="n"/>
      <c r="K179" s="289" t="n"/>
      <c r="L179" s="352" t="n"/>
      <c r="M179" s="289" t="n"/>
      <c r="N179" s="352" t="n">
        <v>41</v>
      </c>
      <c r="O179" s="289" t="inlineStr">
        <is>
          <t>Current/Notice/Vacant Residents</t>
        </is>
      </c>
    </row>
    <row r="180" ht="28.5" customHeight="1" s="234">
      <c r="A180" s="289" t="n"/>
      <c r="B180" s="289" t="n"/>
      <c r="C180" s="289" t="n"/>
      <c r="D180" s="289" t="n"/>
      <c r="E180" s="289" t="n"/>
      <c r="F180" s="352" t="n"/>
      <c r="G180" s="352" t="n"/>
      <c r="H180" s="352" t="n"/>
      <c r="I180" s="289" t="n"/>
      <c r="J180" s="289" t="n"/>
      <c r="K180" s="289" t="n"/>
      <c r="L180" s="352" t="n"/>
      <c r="M180" s="289" t="n"/>
      <c r="N180" s="352" t="n">
        <v>1415</v>
      </c>
      <c r="O180" s="289" t="inlineStr">
        <is>
          <t>Current/Notice/Vacant Residents</t>
        </is>
      </c>
    </row>
    <row r="181" ht="28.5" customHeight="1" s="234">
      <c r="A181" s="289" t="n"/>
      <c r="B181" s="289" t="n"/>
      <c r="C181" s="289" t="n"/>
      <c r="D181" s="289" t="n"/>
      <c r="E181" s="289" t="n"/>
      <c r="F181" s="352" t="n"/>
      <c r="G181" s="352" t="n"/>
      <c r="H181" s="352" t="n"/>
      <c r="I181" s="289" t="n"/>
      <c r="J181" s="289" t="n"/>
      <c r="K181" s="289" t="n"/>
      <c r="L181" s="352" t="n"/>
      <c r="M181" s="289" t="n"/>
      <c r="N181" s="352" t="n">
        <v>0</v>
      </c>
      <c r="O181" s="289" t="inlineStr">
        <is>
          <t>Current/Notice/Vacant Residents</t>
        </is>
      </c>
    </row>
    <row r="182" ht="28.5" customHeight="1" s="234">
      <c r="A182" s="289" t="n"/>
      <c r="B182" s="289" t="n"/>
      <c r="C182" s="289" t="n"/>
      <c r="D182" s="289" t="n"/>
      <c r="E182" s="289" t="n"/>
      <c r="F182" s="352" t="n"/>
      <c r="G182" s="352" t="n"/>
      <c r="H182" s="352" t="n"/>
      <c r="I182" s="289" t="n"/>
      <c r="J182" s="289" t="n"/>
      <c r="K182" s="289" t="n"/>
      <c r="L182" s="352" t="n"/>
      <c r="M182" s="289" t="n"/>
      <c r="N182" s="352" t="n">
        <v>15</v>
      </c>
      <c r="O182" s="289" t="inlineStr">
        <is>
          <t>Current/Notice/Vacant Residents</t>
        </is>
      </c>
    </row>
    <row r="183" ht="28.5" customHeight="1" s="234">
      <c r="A183" s="289" t="n"/>
      <c r="B183" s="289" t="n"/>
      <c r="C183" s="289" t="n"/>
      <c r="D183" s="289" t="n"/>
      <c r="E183" s="289" t="n"/>
      <c r="F183" s="352" t="n"/>
      <c r="G183" s="352" t="n"/>
      <c r="H183" s="352" t="n"/>
      <c r="I183" s="289" t="n"/>
      <c r="J183" s="289" t="n"/>
      <c r="K183" s="289" t="n"/>
      <c r="L183" s="352" t="n"/>
      <c r="M183" s="289" t="n"/>
      <c r="N183" s="352" t="n">
        <v>-98</v>
      </c>
      <c r="O183" s="289" t="inlineStr">
        <is>
          <t>Current/Notice/Vacant Residents</t>
        </is>
      </c>
    </row>
    <row r="184" ht="28.5" customHeight="1" s="234">
      <c r="A184" s="289" t="n"/>
      <c r="B184" s="289" t="n"/>
      <c r="C184" s="289" t="n"/>
      <c r="D184" s="289" t="n"/>
      <c r="E184" s="289" t="n"/>
      <c r="F184" s="352" t="n"/>
      <c r="G184" s="352" t="n"/>
      <c r="H184" s="352" t="n"/>
      <c r="I184" s="289" t="n"/>
      <c r="J184" s="289" t="n"/>
      <c r="K184" s="289" t="n"/>
      <c r="L184" s="352" t="n"/>
      <c r="M184" s="289" t="n"/>
      <c r="N184" s="352" t="n">
        <v>-81</v>
      </c>
      <c r="O184" s="289" t="inlineStr">
        <is>
          <t>Current/Notice/Vacant Residents</t>
        </is>
      </c>
    </row>
    <row r="185" ht="28.5" customHeight="1" s="234">
      <c r="A185" s="289" t="n"/>
      <c r="B185" s="289" t="n"/>
      <c r="C185" s="289" t="n"/>
      <c r="D185" s="289" t="n"/>
      <c r="E185" s="289" t="n"/>
      <c r="F185" s="352" t="n"/>
      <c r="G185" s="352" t="n"/>
      <c r="H185" s="352" t="n"/>
      <c r="I185" s="289" t="n"/>
      <c r="J185" s="289" t="n"/>
      <c r="K185" s="289" t="n"/>
      <c r="L185" s="352" t="n"/>
      <c r="M185" s="289" t="n"/>
      <c r="N185" s="352" t="n">
        <v>1341</v>
      </c>
      <c r="O185" s="289" t="inlineStr">
        <is>
          <t>Current/Notice/Vacant Residents</t>
        </is>
      </c>
    </row>
    <row r="186">
      <c r="A186" s="289" t="n"/>
      <c r="B186" s="289" t="n"/>
      <c r="C186" s="289" t="n"/>
      <c r="D186" s="289" t="n"/>
      <c r="E186" s="289" t="n"/>
      <c r="F186" s="352" t="n"/>
      <c r="G186" s="352" t="n"/>
      <c r="H186" s="352" t="n"/>
      <c r="I186" s="289" t="n"/>
      <c r="J186" s="289" t="n"/>
      <c r="K186" s="289" t="n"/>
      <c r="L186" s="352" t="n"/>
      <c r="M186" s="289" t="n"/>
      <c r="N186" s="352" t="n">
        <v>1893</v>
      </c>
      <c r="O186" s="289" t="inlineStr">
        <is>
          <t>Current/Notice/Vacant Residents</t>
        </is>
      </c>
    </row>
    <row r="187" ht="28.5" customHeight="1" s="234">
      <c r="A187" s="289" t="n"/>
      <c r="B187" s="289" t="n"/>
      <c r="C187" s="289" t="n"/>
      <c r="D187" s="289" t="n"/>
      <c r="E187" s="289" t="n"/>
      <c r="F187" s="352" t="n"/>
      <c r="G187" s="352" t="n"/>
      <c r="H187" s="352" t="n"/>
      <c r="I187" s="289" t="n"/>
      <c r="J187" s="289" t="n"/>
      <c r="K187" s="289" t="n"/>
      <c r="L187" s="352" t="n"/>
      <c r="M187" s="289" t="n"/>
      <c r="N187" s="352" t="n">
        <v>138</v>
      </c>
      <c r="O187" s="289" t="inlineStr">
        <is>
          <t>Current/Notice/Vacant Residents</t>
        </is>
      </c>
    </row>
    <row r="188" ht="28.5" customHeight="1" s="234">
      <c r="A188" s="289" t="n"/>
      <c r="B188" s="289" t="n"/>
      <c r="C188" s="289" t="n"/>
      <c r="D188" s="289" t="n"/>
      <c r="E188" s="289" t="n"/>
      <c r="F188" s="352" t="n"/>
      <c r="G188" s="352" t="n"/>
      <c r="H188" s="352" t="n"/>
      <c r="I188" s="289" t="n"/>
      <c r="J188" s="289" t="n"/>
      <c r="K188" s="289" t="n"/>
      <c r="L188" s="352" t="n"/>
      <c r="M188" s="289" t="n"/>
      <c r="N188" s="352" t="n">
        <v>1408</v>
      </c>
      <c r="O188" s="289" t="inlineStr">
        <is>
          <t>Current/Notice/Vacant Residents</t>
        </is>
      </c>
    </row>
    <row r="189" ht="28.5" customHeight="1" s="234">
      <c r="A189" s="289" t="n"/>
      <c r="B189" s="289" t="n"/>
      <c r="C189" s="289" t="n"/>
      <c r="D189" s="289" t="n"/>
      <c r="E189" s="289" t="n"/>
      <c r="F189" s="352" t="n"/>
      <c r="G189" s="352" t="n"/>
      <c r="H189" s="352" t="n"/>
      <c r="I189" s="289" t="n"/>
      <c r="J189" s="289" t="n"/>
      <c r="K189" s="289" t="n"/>
      <c r="L189" s="352" t="n"/>
      <c r="M189" s="289" t="n"/>
      <c r="N189" s="352" t="n">
        <v>41</v>
      </c>
      <c r="O189" s="289" t="inlineStr">
        <is>
          <t>Current/Notice/Vacant Residents</t>
        </is>
      </c>
    </row>
    <row r="190" ht="28.5" customHeight="1" s="234">
      <c r="A190" s="289" t="n"/>
      <c r="B190" s="289" t="n"/>
      <c r="C190" s="289" t="n"/>
      <c r="D190" s="289" t="n"/>
      <c r="E190" s="289" t="n"/>
      <c r="F190" s="352" t="n"/>
      <c r="G190" s="352" t="n"/>
      <c r="H190" s="352" t="n"/>
      <c r="I190" s="289" t="n"/>
      <c r="J190" s="289" t="n"/>
      <c r="K190" s="289" t="n"/>
      <c r="L190" s="352" t="n"/>
      <c r="M190" s="289" t="n"/>
      <c r="N190" s="352" t="n">
        <v>-104</v>
      </c>
      <c r="O190" s="289" t="inlineStr">
        <is>
          <t>Current/Notice/Vacant Residents</t>
        </is>
      </c>
    </row>
    <row r="191" ht="28.5" customHeight="1" s="234">
      <c r="A191" s="289" t="n"/>
      <c r="B191" s="289" t="n"/>
      <c r="C191" s="289" t="n"/>
      <c r="D191" s="289" t="n"/>
      <c r="E191" s="289" t="n"/>
      <c r="F191" s="352" t="n"/>
      <c r="G191" s="352" t="n"/>
      <c r="H191" s="352" t="n"/>
      <c r="I191" s="289" t="n"/>
      <c r="J191" s="289" t="n"/>
      <c r="K191" s="289" t="n"/>
      <c r="L191" s="352" t="n"/>
      <c r="M191" s="289" t="n"/>
      <c r="N191" s="352" t="n">
        <v>1674</v>
      </c>
      <c r="O191" s="289" t="inlineStr">
        <is>
          <t>Current/Notice/Vacant Residents</t>
        </is>
      </c>
    </row>
    <row r="192" ht="28.5" customHeight="1" s="234">
      <c r="A192" s="289" t="n"/>
      <c r="B192" s="289" t="n"/>
      <c r="C192" s="289" t="n"/>
      <c r="D192" s="289" t="n"/>
      <c r="E192" s="289" t="n"/>
      <c r="F192" s="352" t="n"/>
      <c r="G192" s="352" t="n"/>
      <c r="H192" s="352" t="n"/>
      <c r="I192" s="289" t="n"/>
      <c r="J192" s="289" t="n"/>
      <c r="K192" s="289" t="n"/>
      <c r="L192" s="352" t="n"/>
      <c r="M192" s="289" t="n"/>
      <c r="N192" s="352" t="n">
        <v>125</v>
      </c>
      <c r="O192" s="289" t="inlineStr">
        <is>
          <t>Current/Notice/Vacant Residents</t>
        </is>
      </c>
    </row>
    <row r="193" ht="28.5" customHeight="1" s="234">
      <c r="A193" s="289" t="n"/>
      <c r="B193" s="289" t="n"/>
      <c r="C193" s="289" t="n"/>
      <c r="D193" s="289" t="n"/>
      <c r="E193" s="289" t="n"/>
      <c r="F193" s="352" t="n"/>
      <c r="G193" s="352" t="n"/>
      <c r="H193" s="352" t="n"/>
      <c r="I193" s="289" t="n"/>
      <c r="J193" s="289" t="n"/>
      <c r="K193" s="289" t="n"/>
      <c r="L193" s="352" t="n"/>
      <c r="M193" s="289" t="n"/>
      <c r="N193" s="352" t="n">
        <v>-12</v>
      </c>
      <c r="O193" s="289" t="inlineStr">
        <is>
          <t>Current/Notice/Vacant Residents</t>
        </is>
      </c>
    </row>
    <row r="194" ht="28.5" customHeight="1" s="234">
      <c r="A194" s="289" t="n"/>
      <c r="B194" s="289" t="n"/>
      <c r="C194" s="289" t="n"/>
      <c r="D194" s="289" t="n"/>
      <c r="E194" s="289" t="n"/>
      <c r="F194" s="352" t="n"/>
      <c r="G194" s="352" t="n"/>
      <c r="H194" s="352" t="n"/>
      <c r="I194" s="289" t="n"/>
      <c r="J194" s="289" t="n"/>
      <c r="K194" s="289" t="n"/>
      <c r="L194" s="352" t="n"/>
      <c r="M194" s="289" t="n"/>
      <c r="N194" s="352" t="n">
        <v>-27</v>
      </c>
      <c r="O194" s="289" t="inlineStr">
        <is>
          <t>Current/Notice/Vacant Residents</t>
        </is>
      </c>
    </row>
    <row r="195" ht="28.5" customHeight="1" s="234">
      <c r="A195" s="289" t="n"/>
      <c r="B195" s="289" t="n"/>
      <c r="C195" s="289" t="n"/>
      <c r="D195" s="289" t="n"/>
      <c r="E195" s="289" t="n"/>
      <c r="F195" s="352" t="n"/>
      <c r="G195" s="352" t="n"/>
      <c r="H195" s="352" t="n"/>
      <c r="I195" s="289" t="n"/>
      <c r="J195" s="289" t="n"/>
      <c r="K195" s="289" t="n"/>
      <c r="L195" s="352" t="n"/>
      <c r="M195" s="289" t="n"/>
      <c r="N195" s="352" t="n">
        <v>125</v>
      </c>
      <c r="O195" s="289" t="inlineStr">
        <is>
          <t>Current/Notice/Vacant Residents</t>
        </is>
      </c>
    </row>
    <row r="196" ht="28.5" customHeight="1" s="234">
      <c r="A196" s="289" t="n"/>
      <c r="B196" s="289" t="n"/>
      <c r="C196" s="289" t="n"/>
      <c r="D196" s="289" t="n"/>
      <c r="E196" s="289" t="n"/>
      <c r="F196" s="352" t="n"/>
      <c r="G196" s="352" t="n"/>
      <c r="H196" s="352" t="n"/>
      <c r="I196" s="289" t="n"/>
      <c r="J196" s="289" t="n"/>
      <c r="K196" s="289" t="n"/>
      <c r="L196" s="352" t="n"/>
      <c r="M196" s="289" t="n"/>
      <c r="N196" s="352" t="n">
        <v>-26</v>
      </c>
      <c r="O196" s="289" t="inlineStr">
        <is>
          <t>Current/Notice/Vacant Residents</t>
        </is>
      </c>
    </row>
    <row r="197" ht="28.5" customHeight="1" s="234">
      <c r="A197" s="289" t="n"/>
      <c r="B197" s="289" t="n"/>
      <c r="C197" s="289" t="n"/>
      <c r="D197" s="289" t="n"/>
      <c r="E197" s="289" t="n"/>
      <c r="F197" s="352" t="n"/>
      <c r="G197" s="352" t="n"/>
      <c r="H197" s="352" t="n"/>
      <c r="I197" s="289" t="n"/>
      <c r="J197" s="289" t="n"/>
      <c r="K197" s="289" t="n"/>
      <c r="L197" s="352" t="n"/>
      <c r="M197" s="289" t="n"/>
      <c r="N197" s="352" t="n">
        <v>-65</v>
      </c>
      <c r="O197" s="289" t="inlineStr">
        <is>
          <t>Current/Notice/Vacant Residents</t>
        </is>
      </c>
    </row>
    <row r="198" ht="28.5" customHeight="1" s="234">
      <c r="A198" s="289" t="n"/>
      <c r="B198" s="289" t="n"/>
      <c r="C198" s="289" t="n"/>
      <c r="D198" s="289" t="n"/>
      <c r="E198" s="289" t="n"/>
      <c r="F198" s="352" t="n"/>
      <c r="G198" s="352" t="n"/>
      <c r="H198" s="352" t="n"/>
      <c r="I198" s="289" t="n"/>
      <c r="J198" s="289" t="n"/>
      <c r="K198" s="289" t="n"/>
      <c r="L198" s="352" t="n"/>
      <c r="M198" s="289" t="n"/>
      <c r="N198" s="352" t="n">
        <v>94</v>
      </c>
      <c r="O198" s="289" t="inlineStr">
        <is>
          <t>Current/Notice/Vacant Residents</t>
        </is>
      </c>
    </row>
    <row r="199">
      <c r="A199" s="289" t="n"/>
      <c r="B199" s="289" t="n"/>
      <c r="C199" s="289" t="n"/>
      <c r="D199" s="289" t="n"/>
      <c r="E199" s="289" t="n"/>
      <c r="F199" s="352" t="n"/>
      <c r="G199" s="352" t="n"/>
      <c r="H199" s="352" t="n"/>
      <c r="I199" s="289" t="n"/>
      <c r="J199" s="289" t="n"/>
      <c r="K199" s="289" t="n"/>
      <c r="L199" s="352" t="n"/>
      <c r="M199" s="289" t="n"/>
      <c r="N199" s="352" t="n">
        <v>1829</v>
      </c>
      <c r="O199" s="289" t="inlineStr">
        <is>
          <t>Current/Notice/Vacant Residents</t>
        </is>
      </c>
    </row>
    <row r="200" ht="28.5" customHeight="1" s="234">
      <c r="A200" s="289" t="n"/>
      <c r="B200" s="289" t="n"/>
      <c r="C200" s="289" t="n"/>
      <c r="D200" s="289" t="n"/>
      <c r="E200" s="289" t="n"/>
      <c r="F200" s="352" t="n"/>
      <c r="G200" s="352" t="n"/>
      <c r="H200" s="352" t="n"/>
      <c r="I200" s="289" t="n"/>
      <c r="J200" s="289" t="n"/>
      <c r="K200" s="289" t="n"/>
      <c r="L200" s="352" t="n"/>
      <c r="M200" s="289" t="n"/>
      <c r="N200" s="352" t="n">
        <v>-72</v>
      </c>
      <c r="O200" s="289" t="inlineStr">
        <is>
          <t>Current/Notice/Vacant Residents</t>
        </is>
      </c>
    </row>
    <row r="201" ht="28.5" customHeight="1" s="234">
      <c r="A201" s="289" t="n"/>
      <c r="B201" s="289" t="n"/>
      <c r="C201" s="289" t="n"/>
      <c r="D201" s="289" t="n"/>
      <c r="E201" s="289" t="n"/>
      <c r="F201" s="352" t="n"/>
      <c r="G201" s="352" t="n"/>
      <c r="H201" s="352" t="n"/>
      <c r="I201" s="289" t="n"/>
      <c r="J201" s="289" t="n"/>
      <c r="K201" s="289" t="n"/>
      <c r="L201" s="352" t="n"/>
      <c r="M201" s="289" t="n"/>
      <c r="N201" s="352" t="n">
        <v>-86</v>
      </c>
      <c r="O201" s="289" t="inlineStr">
        <is>
          <t>Current/Notice/Vacant Residents</t>
        </is>
      </c>
    </row>
    <row r="202" ht="28.5" customHeight="1" s="234">
      <c r="A202" s="289" t="n"/>
      <c r="B202" s="289" t="n"/>
      <c r="C202" s="289" t="n"/>
      <c r="D202" s="289" t="n"/>
      <c r="E202" s="289" t="n"/>
      <c r="F202" s="352" t="n"/>
      <c r="G202" s="352" t="n"/>
      <c r="H202" s="352" t="n"/>
      <c r="I202" s="289" t="n"/>
      <c r="J202" s="289" t="n"/>
      <c r="K202" s="289" t="n"/>
      <c r="L202" s="352" t="n"/>
      <c r="M202" s="289" t="n"/>
      <c r="N202" s="352" t="n">
        <v>-62</v>
      </c>
      <c r="O202" s="289" t="inlineStr">
        <is>
          <t>Current/Notice/Vacant Residents</t>
        </is>
      </c>
    </row>
    <row r="203" ht="28.5" customHeight="1" s="234">
      <c r="A203" s="289" t="n"/>
      <c r="B203" s="289" t="n"/>
      <c r="C203" s="289" t="n"/>
      <c r="D203" s="289" t="n"/>
      <c r="E203" s="289" t="n"/>
      <c r="F203" s="352" t="n"/>
      <c r="G203" s="352" t="n"/>
      <c r="H203" s="352" t="n"/>
      <c r="I203" s="289" t="n"/>
      <c r="J203" s="289" t="n"/>
      <c r="K203" s="289" t="n"/>
      <c r="L203" s="352" t="n"/>
      <c r="M203" s="289" t="n"/>
      <c r="N203" s="352" t="n">
        <v>-70</v>
      </c>
      <c r="O203" s="289" t="inlineStr">
        <is>
          <t>Current/Notice/Vacant Residents</t>
        </is>
      </c>
    </row>
    <row r="204" ht="28.5" customHeight="1" s="234">
      <c r="A204" s="289" t="n"/>
      <c r="B204" s="289" t="n"/>
      <c r="C204" s="289" t="n"/>
      <c r="D204" s="289" t="n"/>
      <c r="E204" s="289" t="n"/>
      <c r="F204" s="352" t="n"/>
      <c r="G204" s="352" t="n"/>
      <c r="H204" s="352" t="n"/>
      <c r="I204" s="289" t="n"/>
      <c r="J204" s="289" t="n"/>
      <c r="K204" s="289" t="n"/>
      <c r="L204" s="352" t="n"/>
      <c r="M204" s="289" t="n"/>
      <c r="N204" s="352" t="n">
        <v>-5</v>
      </c>
      <c r="O204" s="289" t="inlineStr">
        <is>
          <t>Current/Notice/Vacant Residents</t>
        </is>
      </c>
    </row>
    <row r="205" ht="28.5" customHeight="1" s="234">
      <c r="A205" s="289" t="n"/>
      <c r="B205" s="289" t="n"/>
      <c r="C205" s="289" t="n"/>
      <c r="D205" s="289" t="n"/>
      <c r="E205" s="289" t="n"/>
      <c r="F205" s="352" t="n"/>
      <c r="G205" s="352" t="n"/>
      <c r="H205" s="352" t="n"/>
      <c r="I205" s="289" t="n"/>
      <c r="J205" s="289" t="n"/>
      <c r="K205" s="289" t="n"/>
      <c r="L205" s="352" t="n"/>
      <c r="M205" s="289" t="n"/>
      <c r="N205" s="352" t="n">
        <v>-6</v>
      </c>
      <c r="O205" s="289" t="inlineStr">
        <is>
          <t>Current/Notice/Vacant Residents</t>
        </is>
      </c>
    </row>
    <row r="206" ht="28.5" customHeight="1" s="234">
      <c r="A206" s="289" t="n"/>
      <c r="B206" s="289" t="n"/>
      <c r="C206" s="289" t="n"/>
      <c r="D206" s="289" t="n"/>
      <c r="E206" s="289" t="n"/>
      <c r="F206" s="352" t="n"/>
      <c r="G206" s="352" t="n"/>
      <c r="H206" s="352" t="n"/>
      <c r="I206" s="289" t="n"/>
      <c r="J206" s="289" t="n"/>
      <c r="K206" s="289" t="n"/>
      <c r="L206" s="352" t="n"/>
      <c r="M206" s="289" t="n"/>
      <c r="N206" s="352" t="n">
        <v>97</v>
      </c>
      <c r="O206" s="289" t="inlineStr">
        <is>
          <t>Current/Notice/Vacant Residents</t>
        </is>
      </c>
    </row>
    <row r="207" ht="28.5" customHeight="1" s="234">
      <c r="A207" s="289" t="n"/>
      <c r="B207" s="289" t="n"/>
      <c r="C207" s="289" t="n"/>
      <c r="D207" s="289" t="n"/>
      <c r="E207" s="289" t="n"/>
      <c r="F207" s="352" t="n"/>
      <c r="G207" s="352" t="n"/>
      <c r="H207" s="352" t="n"/>
      <c r="I207" s="289" t="n"/>
      <c r="J207" s="289" t="n"/>
      <c r="K207" s="289" t="n"/>
      <c r="L207" s="352" t="n"/>
      <c r="M207" s="289" t="n"/>
      <c r="N207" s="352" t="n">
        <v>-33</v>
      </c>
      <c r="O207" s="289" t="inlineStr">
        <is>
          <t>Current/Notice/Vacant Residents</t>
        </is>
      </c>
    </row>
    <row r="208" ht="28.5" customHeight="1" s="234">
      <c r="A208" s="289" t="n"/>
      <c r="B208" s="289" t="n"/>
      <c r="C208" s="289" t="n"/>
      <c r="D208" s="289" t="n"/>
      <c r="E208" s="289" t="n"/>
      <c r="F208" s="352" t="n"/>
      <c r="G208" s="352" t="n"/>
      <c r="H208" s="352" t="n"/>
      <c r="I208" s="289" t="n"/>
      <c r="J208" s="289" t="n"/>
      <c r="K208" s="289" t="n"/>
      <c r="L208" s="352" t="n"/>
      <c r="M208" s="289" t="n"/>
      <c r="N208" s="352" t="n">
        <v>-6</v>
      </c>
      <c r="O208" s="289" t="inlineStr">
        <is>
          <t>Current/Notice/Vacant Residents</t>
        </is>
      </c>
    </row>
    <row r="209" ht="28.5" customHeight="1" s="234">
      <c r="A209" s="289" t="n"/>
      <c r="B209" s="289" t="n"/>
      <c r="C209" s="289" t="n"/>
      <c r="D209" s="289" t="n"/>
      <c r="E209" s="289" t="n"/>
      <c r="F209" s="352" t="n"/>
      <c r="G209" s="352" t="n"/>
      <c r="H209" s="352" t="n"/>
      <c r="I209" s="289" t="n"/>
      <c r="J209" s="289" t="n"/>
      <c r="K209" s="289" t="n"/>
      <c r="L209" s="352" t="n"/>
      <c r="M209" s="289" t="n"/>
      <c r="N209" s="352" t="n">
        <v>55</v>
      </c>
      <c r="O209" s="289" t="inlineStr">
        <is>
          <t>Current/Notice/Vacant Residents</t>
        </is>
      </c>
    </row>
    <row r="210" ht="28.5" customHeight="1" s="234">
      <c r="A210" s="289" t="n"/>
      <c r="B210" s="289" t="n"/>
      <c r="C210" s="289" t="n"/>
      <c r="D210" s="289" t="n"/>
      <c r="E210" s="289" t="n"/>
      <c r="F210" s="352" t="n"/>
      <c r="G210" s="352" t="n"/>
      <c r="H210" s="352" t="n"/>
      <c r="I210" s="289" t="n"/>
      <c r="J210" s="289" t="n"/>
      <c r="K210" s="289" t="n"/>
      <c r="L210" s="352" t="n"/>
      <c r="M210" s="289" t="n"/>
      <c r="N210" s="352" t="n">
        <v>152</v>
      </c>
      <c r="O210" s="289" t="inlineStr">
        <is>
          <t>Current/Notice/Vacant Residents</t>
        </is>
      </c>
    </row>
    <row r="211" ht="28.5" customHeight="1" s="234">
      <c r="A211" s="289" t="n"/>
      <c r="B211" s="289" t="n"/>
      <c r="C211" s="289" t="n"/>
      <c r="D211" s="289" t="n"/>
      <c r="E211" s="289" t="n"/>
      <c r="F211" s="352" t="n"/>
      <c r="G211" s="352" t="n"/>
      <c r="H211" s="352" t="n"/>
      <c r="I211" s="289" t="n"/>
      <c r="J211" s="289" t="n"/>
      <c r="K211" s="289" t="n"/>
      <c r="L211" s="352" t="n"/>
      <c r="M211" s="289" t="n"/>
      <c r="N211" s="352" t="n">
        <v>40</v>
      </c>
      <c r="O211" s="289" t="inlineStr">
        <is>
          <t>Current/Notice/Vacant Residents</t>
        </is>
      </c>
    </row>
    <row r="212" ht="28.5" customHeight="1" s="234">
      <c r="A212" s="289" t="n"/>
      <c r="B212" s="289" t="n"/>
      <c r="C212" s="289" t="n"/>
      <c r="D212" s="289" t="n"/>
      <c r="E212" s="289" t="n"/>
      <c r="F212" s="352" t="n"/>
      <c r="G212" s="352" t="n"/>
      <c r="H212" s="352" t="n"/>
      <c r="I212" s="289" t="n"/>
      <c r="J212" s="289" t="n"/>
      <c r="K212" s="289" t="n"/>
      <c r="L212" s="352" t="n"/>
      <c r="M212" s="289" t="n"/>
      <c r="N212" s="352" t="n">
        <v>-29</v>
      </c>
      <c r="O212" s="289" t="inlineStr">
        <is>
          <t>Current/Notice/Vacant Residents</t>
        </is>
      </c>
    </row>
    <row r="213" ht="28.5" customHeight="1" s="234">
      <c r="A213" s="289" t="n"/>
      <c r="B213" s="289" t="n"/>
      <c r="C213" s="289" t="n"/>
      <c r="D213" s="289" t="n"/>
      <c r="E213" s="289" t="n"/>
      <c r="F213" s="352" t="n"/>
      <c r="G213" s="352" t="n"/>
      <c r="H213" s="352" t="n"/>
      <c r="I213" s="289" t="n"/>
      <c r="J213" s="289" t="n"/>
      <c r="K213" s="289" t="n"/>
      <c r="L213" s="352" t="n"/>
      <c r="M213" s="289" t="n"/>
      <c r="N213" s="352" t="n">
        <v>63</v>
      </c>
      <c r="O213" s="289" t="inlineStr">
        <is>
          <t>Current/Notice/Vacant Residents</t>
        </is>
      </c>
    </row>
    <row r="214" ht="28.5" customHeight="1" s="234">
      <c r="A214" s="289" t="n"/>
      <c r="B214" s="289" t="n"/>
      <c r="C214" s="289" t="n"/>
      <c r="D214" s="289" t="n"/>
      <c r="E214" s="289" t="n"/>
      <c r="F214" s="352" t="n"/>
      <c r="G214" s="352" t="n"/>
      <c r="H214" s="352" t="n"/>
      <c r="I214" s="289" t="n"/>
      <c r="J214" s="289" t="n"/>
      <c r="K214" s="289" t="n"/>
      <c r="L214" s="352" t="n"/>
      <c r="M214" s="289" t="n"/>
      <c r="N214" s="352" t="n">
        <v>-10</v>
      </c>
      <c r="O214" s="289" t="inlineStr">
        <is>
          <t>Current/Notice/Vacant Residents</t>
        </is>
      </c>
    </row>
    <row r="215" ht="28.5" customHeight="1" s="234">
      <c r="A215" s="289" t="n"/>
      <c r="B215" s="289" t="n"/>
      <c r="C215" s="289" t="n"/>
      <c r="D215" s="289" t="n"/>
      <c r="E215" s="289" t="n"/>
      <c r="F215" s="352" t="n"/>
      <c r="G215" s="352" t="n"/>
      <c r="H215" s="352" t="n"/>
      <c r="I215" s="289" t="n"/>
      <c r="J215" s="289" t="n"/>
      <c r="K215" s="289" t="n"/>
      <c r="L215" s="352" t="n"/>
      <c r="M215" s="289" t="n"/>
      <c r="N215" s="352" t="n">
        <v>-105</v>
      </c>
      <c r="O215" s="289" t="inlineStr">
        <is>
          <t>Current/Notice/Vacant Residents</t>
        </is>
      </c>
    </row>
    <row r="216" ht="28.5" customHeight="1" s="234">
      <c r="A216" s="289" t="n"/>
      <c r="B216" s="289" t="n"/>
      <c r="C216" s="289" t="n"/>
      <c r="D216" s="289" t="n"/>
      <c r="E216" s="289" t="n"/>
      <c r="F216" s="352" t="n"/>
      <c r="G216" s="352" t="n"/>
      <c r="H216" s="352" t="n"/>
      <c r="I216" s="289" t="n"/>
      <c r="J216" s="289" t="n"/>
      <c r="K216" s="289" t="n"/>
      <c r="L216" s="352" t="n"/>
      <c r="M216" s="289" t="n"/>
      <c r="N216" s="352" t="n">
        <v>1654</v>
      </c>
      <c r="O216" s="289" t="inlineStr">
        <is>
          <t>Current/Notice/Vacant Residents</t>
        </is>
      </c>
    </row>
    <row r="217" ht="28.5" customHeight="1" s="234">
      <c r="A217" s="289" t="n"/>
      <c r="B217" s="289" t="n"/>
      <c r="C217" s="289" t="n"/>
      <c r="D217" s="289" t="n"/>
      <c r="E217" s="289" t="n"/>
      <c r="F217" s="352" t="n"/>
      <c r="G217" s="352" t="n"/>
      <c r="H217" s="352" t="n"/>
      <c r="I217" s="289" t="n"/>
      <c r="J217" s="289" t="n"/>
      <c r="K217" s="289" t="n"/>
      <c r="L217" s="352" t="n"/>
      <c r="M217" s="289" t="n"/>
      <c r="N217" s="352" t="n">
        <v>112</v>
      </c>
      <c r="O217" s="289" t="inlineStr">
        <is>
          <t>Current/Notice/Vacant Residents</t>
        </is>
      </c>
    </row>
    <row r="218" ht="28.5" customHeight="1" s="234">
      <c r="A218" s="289" t="n"/>
      <c r="B218" s="289" t="n"/>
      <c r="C218" s="289" t="n"/>
      <c r="D218" s="289" t="n"/>
      <c r="E218" s="289" t="n"/>
      <c r="F218" s="352" t="n"/>
      <c r="G218" s="352" t="n"/>
      <c r="H218" s="352" t="n"/>
      <c r="I218" s="289" t="n"/>
      <c r="J218" s="289" t="n"/>
      <c r="K218" s="289" t="n"/>
      <c r="L218" s="352" t="n"/>
      <c r="M218" s="289" t="n"/>
      <c r="N218" s="352" t="n">
        <v>9</v>
      </c>
      <c r="O218" s="289" t="inlineStr">
        <is>
          <t>Current/Notice/Vacant Residents</t>
        </is>
      </c>
    </row>
    <row r="219" ht="28.5" customHeight="1" s="234">
      <c r="A219" s="289" t="n"/>
      <c r="B219" s="289" t="n"/>
      <c r="C219" s="289" t="n"/>
      <c r="D219" s="289" t="n"/>
      <c r="E219" s="289" t="n"/>
      <c r="F219" s="352" t="n"/>
      <c r="G219" s="352" t="n"/>
      <c r="H219" s="352" t="n"/>
      <c r="I219" s="289" t="n"/>
      <c r="J219" s="289" t="n"/>
      <c r="K219" s="289" t="n"/>
      <c r="L219" s="352" t="n"/>
      <c r="M219" s="289" t="n"/>
      <c r="N219" s="352" t="n">
        <v>-2</v>
      </c>
      <c r="O219" s="289" t="inlineStr">
        <is>
          <t>Current/Notice/Vacant Residents</t>
        </is>
      </c>
    </row>
    <row r="220">
      <c r="A220" s="289" t="n"/>
      <c r="B220" s="289" t="n"/>
      <c r="C220" s="289" t="n"/>
      <c r="D220" s="289" t="n"/>
      <c r="E220" s="289" t="n"/>
      <c r="F220" s="352" t="n"/>
      <c r="G220" s="352" t="n"/>
      <c r="H220" s="352" t="n"/>
      <c r="I220" s="289" t="n"/>
      <c r="J220" s="289" t="n"/>
      <c r="K220" s="289" t="n"/>
      <c r="L220" s="352" t="n"/>
      <c r="M220" s="289" t="n"/>
      <c r="N220" s="352" t="n">
        <v>1487</v>
      </c>
      <c r="O220" s="289" t="inlineStr">
        <is>
          <t>Current/Notice/Vacant Residents</t>
        </is>
      </c>
    </row>
    <row r="221" ht="28.5" customHeight="1" s="234">
      <c r="A221" s="289" t="n"/>
      <c r="B221" s="289" t="n"/>
      <c r="C221" s="289" t="n"/>
      <c r="D221" s="289" t="n"/>
      <c r="E221" s="289" t="n"/>
      <c r="F221" s="352" t="n"/>
      <c r="G221" s="352" t="n"/>
      <c r="H221" s="352" t="n"/>
      <c r="I221" s="289" t="n"/>
      <c r="J221" s="289" t="n"/>
      <c r="K221" s="289" t="n"/>
      <c r="L221" s="352" t="n"/>
      <c r="M221" s="289" t="n"/>
      <c r="N221" s="352" t="n">
        <v>-70</v>
      </c>
      <c r="O221" s="289" t="inlineStr">
        <is>
          <t>Current/Notice/Vacant Residents</t>
        </is>
      </c>
    </row>
    <row r="222" ht="28.5" customHeight="1" s="234">
      <c r="A222" s="289" t="n"/>
      <c r="B222" s="289" t="n"/>
      <c r="C222" s="289" t="n"/>
      <c r="D222" s="289" t="n"/>
      <c r="E222" s="289" t="n"/>
      <c r="F222" s="352" t="n"/>
      <c r="G222" s="352" t="n"/>
      <c r="H222" s="352" t="n"/>
      <c r="I222" s="289" t="n"/>
      <c r="J222" s="289" t="n"/>
      <c r="K222" s="289" t="n"/>
      <c r="L222" s="352" t="n"/>
      <c r="M222" s="289" t="n"/>
      <c r="N222" s="352" t="n">
        <v>44</v>
      </c>
      <c r="O222" s="289" t="inlineStr">
        <is>
          <t>Current/Notice/Vacant Residents</t>
        </is>
      </c>
    </row>
    <row r="223">
      <c r="A223" s="289" t="n"/>
      <c r="B223" s="289" t="n"/>
      <c r="C223" s="289" t="n"/>
      <c r="D223" s="289" t="n"/>
      <c r="E223" s="289" t="n"/>
      <c r="F223" s="352" t="n"/>
      <c r="G223" s="352" t="n"/>
      <c r="H223" s="352" t="n"/>
      <c r="I223" s="289" t="n"/>
      <c r="J223" s="289" t="n"/>
      <c r="K223" s="289" t="n"/>
      <c r="L223" s="352" t="n"/>
      <c r="M223" s="289" t="n"/>
      <c r="N223" s="352" t="n">
        <v>1674</v>
      </c>
      <c r="O223" s="289" t="inlineStr">
        <is>
          <t>Current/Notice/Vacant Residents</t>
        </is>
      </c>
    </row>
    <row r="224" ht="28.5" customHeight="1" s="234">
      <c r="A224" s="289" t="n"/>
      <c r="B224" s="289" t="n"/>
      <c r="C224" s="289" t="n"/>
      <c r="D224" s="289" t="n"/>
      <c r="E224" s="289" t="n"/>
      <c r="F224" s="352" t="n"/>
      <c r="G224" s="352" t="n"/>
      <c r="H224" s="352" t="n"/>
      <c r="I224" s="289" t="n"/>
      <c r="J224" s="289" t="n"/>
      <c r="K224" s="289" t="n"/>
      <c r="L224" s="352" t="n"/>
      <c r="M224" s="289" t="n"/>
      <c r="N224" s="352" t="n">
        <v>-14</v>
      </c>
      <c r="O224" s="289" t="inlineStr">
        <is>
          <t>Current/Notice/Vacant Residents</t>
        </is>
      </c>
    </row>
    <row r="225" ht="28.5" customHeight="1" s="234">
      <c r="A225" s="289" t="n"/>
      <c r="B225" s="289" t="n"/>
      <c r="C225" s="289" t="n"/>
      <c r="D225" s="289" t="n"/>
      <c r="E225" s="289" t="n"/>
      <c r="F225" s="352" t="n"/>
      <c r="G225" s="352" t="n"/>
      <c r="H225" s="352" t="n"/>
      <c r="I225" s="289" t="n"/>
      <c r="J225" s="289" t="n"/>
      <c r="K225" s="289" t="n"/>
      <c r="L225" s="352" t="n"/>
      <c r="M225" s="289" t="n"/>
      <c r="N225" s="352" t="n">
        <v>-4</v>
      </c>
      <c r="O225" s="289" t="inlineStr">
        <is>
          <t>Current/Notice/Vacant Residents</t>
        </is>
      </c>
    </row>
    <row r="226" ht="28.5" customHeight="1" s="234">
      <c r="A226" s="289" t="n"/>
      <c r="B226" s="289" t="n"/>
      <c r="C226" s="289" t="n"/>
      <c r="D226" s="289" t="n"/>
      <c r="E226" s="289" t="n"/>
      <c r="F226" s="352" t="n"/>
      <c r="G226" s="352" t="n"/>
      <c r="H226" s="352" t="n"/>
      <c r="I226" s="289" t="n"/>
      <c r="J226" s="289" t="n"/>
      <c r="K226" s="289" t="n"/>
      <c r="L226" s="352" t="n"/>
      <c r="M226" s="289" t="n"/>
      <c r="N226" s="352" t="n">
        <v>7</v>
      </c>
      <c r="O226" s="289" t="inlineStr">
        <is>
          <t>Current/Notice/Vacant Residents</t>
        </is>
      </c>
    </row>
    <row r="227" ht="28.5" customHeight="1" s="234">
      <c r="A227" s="289" t="n"/>
      <c r="B227" s="289" t="n"/>
      <c r="C227" s="289" t="n"/>
      <c r="D227" s="289" t="n"/>
      <c r="E227" s="289" t="n"/>
      <c r="F227" s="352" t="n"/>
      <c r="G227" s="352" t="n"/>
      <c r="H227" s="352" t="n"/>
      <c r="I227" s="289" t="n"/>
      <c r="J227" s="289" t="n"/>
      <c r="K227" s="289" t="n"/>
      <c r="L227" s="352" t="n"/>
      <c r="M227" s="289" t="n"/>
      <c r="N227" s="352" t="n">
        <v>-39</v>
      </c>
      <c r="O227" s="289" t="inlineStr">
        <is>
          <t>Current/Notice/Vacant Residents</t>
        </is>
      </c>
    </row>
    <row r="228" ht="28.5" customHeight="1" s="234">
      <c r="A228" s="289" t="n"/>
      <c r="B228" s="289" t="n"/>
      <c r="C228" s="289" t="n"/>
      <c r="D228" s="289" t="n"/>
      <c r="E228" s="289" t="n"/>
      <c r="F228" s="352" t="n"/>
      <c r="G228" s="352" t="n"/>
      <c r="H228" s="352" t="n"/>
      <c r="I228" s="289" t="n"/>
      <c r="J228" s="289" t="n"/>
      <c r="K228" s="289" t="n"/>
      <c r="L228" s="352" t="n"/>
      <c r="M228" s="289" t="n"/>
      <c r="N228" s="352" t="n">
        <v>47</v>
      </c>
      <c r="O228" s="289" t="inlineStr">
        <is>
          <t>Current/Notice/Vacant Residents</t>
        </is>
      </c>
    </row>
    <row r="229" ht="28.5" customHeight="1" s="234">
      <c r="A229" s="289" t="n"/>
      <c r="B229" s="289" t="n"/>
      <c r="C229" s="289" t="n"/>
      <c r="D229" s="289" t="n"/>
      <c r="E229" s="289" t="n"/>
      <c r="F229" s="352" t="n"/>
      <c r="G229" s="352" t="n"/>
      <c r="H229" s="352" t="n"/>
      <c r="I229" s="289" t="n"/>
      <c r="J229" s="289" t="n"/>
      <c r="K229" s="289" t="n"/>
      <c r="L229" s="352" t="n"/>
      <c r="M229" s="289" t="n"/>
      <c r="N229" s="352" t="n">
        <v>0</v>
      </c>
      <c r="O229" s="289" t="inlineStr">
        <is>
          <t>Current/Notice/Vacant Residents</t>
        </is>
      </c>
    </row>
    <row r="230" ht="28.5" customHeight="1" s="234">
      <c r="A230" s="289" t="n"/>
      <c r="B230" s="289" t="n"/>
      <c r="C230" s="289" t="n"/>
      <c r="D230" s="289" t="n"/>
      <c r="E230" s="289" t="n"/>
      <c r="F230" s="352" t="n"/>
      <c r="G230" s="352" t="n"/>
      <c r="H230" s="352" t="n"/>
      <c r="I230" s="289" t="n"/>
      <c r="J230" s="289" t="n"/>
      <c r="K230" s="289" t="n"/>
      <c r="L230" s="352" t="n"/>
      <c r="M230" s="289" t="n"/>
      <c r="N230" s="352" t="n">
        <v>70</v>
      </c>
      <c r="O230" s="289" t="inlineStr">
        <is>
          <t>Current/Notice/Vacant Residents</t>
        </is>
      </c>
    </row>
    <row r="231" ht="28.5" customHeight="1" s="234">
      <c r="A231" s="289" t="n"/>
      <c r="B231" s="289" t="n"/>
      <c r="C231" s="289" t="n"/>
      <c r="D231" s="289" t="n"/>
      <c r="E231" s="289" t="n"/>
      <c r="F231" s="352" t="n"/>
      <c r="G231" s="352" t="n"/>
      <c r="H231" s="352" t="n"/>
      <c r="I231" s="289" t="n"/>
      <c r="J231" s="289" t="n"/>
      <c r="K231" s="289" t="n"/>
      <c r="L231" s="352" t="n"/>
      <c r="M231" s="289" t="n"/>
      <c r="N231" s="352" t="n">
        <v>49</v>
      </c>
      <c r="O231" s="289" t="inlineStr">
        <is>
          <t>Current/Notice/Vacant Residents</t>
        </is>
      </c>
    </row>
    <row r="232" ht="28.5" customHeight="1" s="234">
      <c r="A232" s="289" t="n"/>
      <c r="B232" s="289" t="n"/>
      <c r="C232" s="289" t="n"/>
      <c r="D232" s="289" t="n"/>
      <c r="E232" s="289" t="n"/>
      <c r="F232" s="352" t="n"/>
      <c r="G232" s="352" t="n"/>
      <c r="H232" s="352" t="n"/>
      <c r="I232" s="289" t="n"/>
      <c r="J232" s="289" t="n"/>
      <c r="K232" s="289" t="n"/>
      <c r="L232" s="352" t="n"/>
      <c r="M232" s="289" t="n"/>
      <c r="N232" s="352" t="n">
        <v>-49</v>
      </c>
      <c r="O232" s="289" t="inlineStr">
        <is>
          <t>Current/Notice/Vacant Residents</t>
        </is>
      </c>
    </row>
    <row r="233" ht="28.5" customHeight="1" s="234">
      <c r="A233" s="289" t="n"/>
      <c r="B233" s="289" t="n"/>
      <c r="C233" s="289" t="n"/>
      <c r="D233" s="289" t="n"/>
      <c r="E233" s="289" t="n"/>
      <c r="F233" s="352" t="n"/>
      <c r="G233" s="352" t="n"/>
      <c r="H233" s="352" t="n"/>
      <c r="I233" s="289" t="n"/>
      <c r="J233" s="289" t="n"/>
      <c r="K233" s="289" t="n"/>
      <c r="L233" s="352" t="n"/>
      <c r="M233" s="289" t="n"/>
      <c r="N233" s="352" t="n">
        <v>1576</v>
      </c>
      <c r="O233" s="289" t="inlineStr">
        <is>
          <t>Current/Notice/Vacant Residents</t>
        </is>
      </c>
    </row>
    <row r="234" ht="28.5" customHeight="1" s="234">
      <c r="A234" s="289" t="n"/>
      <c r="B234" s="289" t="n"/>
      <c r="C234" s="289" t="n"/>
      <c r="D234" s="289" t="n"/>
      <c r="E234" s="289" t="n"/>
      <c r="F234" s="352" t="n"/>
      <c r="G234" s="352" t="n"/>
      <c r="H234" s="352" t="n"/>
      <c r="I234" s="289" t="n"/>
      <c r="J234" s="289" t="n"/>
      <c r="K234" s="289" t="n"/>
      <c r="L234" s="352" t="n"/>
      <c r="M234" s="289" t="n"/>
      <c r="N234" s="352" t="n">
        <v>4</v>
      </c>
      <c r="O234" s="289" t="inlineStr">
        <is>
          <t>Current/Notice/Vacant Residents</t>
        </is>
      </c>
    </row>
    <row r="235" ht="28.5" customHeight="1" s="234">
      <c r="A235" s="289" t="n"/>
      <c r="B235" s="289" t="n"/>
      <c r="C235" s="289" t="n"/>
      <c r="D235" s="289" t="n"/>
      <c r="E235" s="289" t="n"/>
      <c r="F235" s="352" t="n"/>
      <c r="G235" s="352" t="n"/>
      <c r="H235" s="352" t="n"/>
      <c r="I235" s="289" t="n"/>
      <c r="J235" s="289" t="n"/>
      <c r="K235" s="289" t="n"/>
      <c r="L235" s="352" t="n"/>
      <c r="M235" s="289" t="n"/>
      <c r="N235" s="352" t="n">
        <v>1310</v>
      </c>
      <c r="O235" s="289" t="inlineStr">
        <is>
          <t>Current/Notice/Vacant Residents</t>
        </is>
      </c>
    </row>
    <row r="236" ht="28.5" customHeight="1" s="234">
      <c r="A236" s="289" t="n"/>
      <c r="B236" s="289" t="n"/>
      <c r="C236" s="289" t="n"/>
      <c r="D236" s="289" t="n"/>
      <c r="E236" s="289" t="n"/>
      <c r="F236" s="352" t="n"/>
      <c r="G236" s="352" t="n"/>
      <c r="H236" s="352" t="n"/>
      <c r="I236" s="289" t="n"/>
      <c r="J236" s="289" t="n"/>
      <c r="K236" s="289" t="n"/>
      <c r="L236" s="352" t="n"/>
      <c r="M236" s="289" t="n"/>
      <c r="N236" s="352" t="n">
        <v>1337</v>
      </c>
      <c r="O236" s="289" t="inlineStr">
        <is>
          <t>Current/Notice/Vacant Residents</t>
        </is>
      </c>
    </row>
    <row r="237" ht="28.5" customHeight="1" s="234">
      <c r="A237" s="289" t="n"/>
      <c r="B237" s="289" t="n"/>
      <c r="C237" s="289" t="n"/>
      <c r="D237" s="289" t="n"/>
      <c r="E237" s="289" t="n"/>
      <c r="F237" s="352" t="n"/>
      <c r="G237" s="352" t="n"/>
      <c r="H237" s="352" t="n"/>
      <c r="I237" s="289" t="n"/>
      <c r="J237" s="289" t="n"/>
      <c r="K237" s="289" t="n"/>
      <c r="L237" s="352" t="n"/>
      <c r="M237" s="289" t="n"/>
      <c r="N237" s="352" t="n">
        <v>169</v>
      </c>
      <c r="O237" s="289" t="inlineStr">
        <is>
          <t>Current/Notice/Vacant Residents</t>
        </is>
      </c>
    </row>
    <row r="238" ht="28.5" customHeight="1" s="234">
      <c r="A238" s="289" t="n"/>
      <c r="B238" s="289" t="n"/>
      <c r="C238" s="289" t="n"/>
      <c r="D238" s="289" t="n"/>
      <c r="E238" s="289" t="n"/>
      <c r="F238" s="352" t="n"/>
      <c r="G238" s="352" t="n"/>
      <c r="H238" s="352" t="n"/>
      <c r="I238" s="289" t="n"/>
      <c r="J238" s="289" t="n"/>
      <c r="K238" s="289" t="n"/>
      <c r="L238" s="352" t="n"/>
      <c r="M238" s="289" t="n"/>
      <c r="N238" s="352" t="n">
        <v>-82</v>
      </c>
      <c r="O238" s="289" t="inlineStr">
        <is>
          <t>Current/Notice/Vacant Residents</t>
        </is>
      </c>
    </row>
    <row r="239" ht="28.5" customHeight="1" s="234">
      <c r="A239" s="289" t="n"/>
      <c r="B239" s="289" t="n"/>
      <c r="C239" s="289" t="n"/>
      <c r="D239" s="289" t="n"/>
      <c r="E239" s="289" t="n"/>
      <c r="F239" s="352" t="n"/>
      <c r="G239" s="352" t="n"/>
      <c r="H239" s="352" t="n"/>
      <c r="I239" s="289" t="n"/>
      <c r="J239" s="289" t="n"/>
      <c r="K239" s="289" t="n"/>
      <c r="L239" s="352" t="n"/>
      <c r="M239" s="289" t="n"/>
      <c r="N239" s="352" t="n">
        <v>-185</v>
      </c>
      <c r="O239" s="289" t="inlineStr">
        <is>
          <t>Current/Notice/Vacant Residents</t>
        </is>
      </c>
    </row>
    <row r="240" ht="28.5" customHeight="1" s="234">
      <c r="A240" s="289" t="n"/>
      <c r="B240" s="289" t="n"/>
      <c r="C240" s="289" t="n"/>
      <c r="D240" s="289" t="n"/>
      <c r="E240" s="289" t="n"/>
      <c r="F240" s="352" t="n"/>
      <c r="G240" s="352" t="n"/>
      <c r="H240" s="352" t="n"/>
      <c r="I240" s="289" t="n"/>
      <c r="J240" s="289" t="n"/>
      <c r="K240" s="289" t="n"/>
      <c r="L240" s="352" t="n"/>
      <c r="M240" s="289" t="n"/>
      <c r="N240" s="352" t="n">
        <v>-268</v>
      </c>
      <c r="O240" s="289" t="inlineStr">
        <is>
          <t>Current/Notice/Vacant Residents</t>
        </is>
      </c>
    </row>
    <row r="241" ht="28.5" customHeight="1" s="234">
      <c r="A241" s="289" t="n"/>
      <c r="B241" s="289" t="n"/>
      <c r="C241" s="289" t="n"/>
      <c r="D241" s="289" t="n"/>
      <c r="E241" s="289" t="n"/>
      <c r="F241" s="352" t="n"/>
      <c r="G241" s="352" t="n"/>
      <c r="H241" s="352" t="n"/>
      <c r="I241" s="289" t="n"/>
      <c r="J241" s="289" t="n"/>
      <c r="K241" s="289" t="n"/>
      <c r="L241" s="352" t="n"/>
      <c r="M241" s="289" t="n"/>
      <c r="N241" s="352" t="n">
        <v>-148</v>
      </c>
      <c r="O241" s="289" t="inlineStr">
        <is>
          <t>Current/Notice/Vacant Residents</t>
        </is>
      </c>
    </row>
    <row r="242" ht="28.5" customHeight="1" s="234">
      <c r="A242" s="289" t="n"/>
      <c r="B242" s="289" t="n"/>
      <c r="C242" s="289" t="n"/>
      <c r="D242" s="289" t="n"/>
      <c r="E242" s="289" t="n"/>
      <c r="F242" s="352" t="n"/>
      <c r="G242" s="352" t="n"/>
      <c r="H242" s="352" t="n"/>
      <c r="I242" s="289" t="n"/>
      <c r="J242" s="289" t="n"/>
      <c r="K242" s="289" t="n"/>
      <c r="L242" s="352" t="n"/>
      <c r="M242" s="289" t="n"/>
      <c r="N242" s="352" t="n">
        <v>330</v>
      </c>
      <c r="O242" s="289" t="inlineStr">
        <is>
          <t>Current/Notice/Vacant Residents</t>
        </is>
      </c>
    </row>
    <row r="243" ht="28.5" customHeight="1" s="234">
      <c r="A243" s="289" t="n"/>
      <c r="B243" s="289" t="n"/>
      <c r="C243" s="289" t="n"/>
      <c r="D243" s="289" t="n"/>
      <c r="E243" s="289" t="n"/>
      <c r="F243" s="352" t="n"/>
      <c r="G243" s="352" t="n"/>
      <c r="H243" s="352" t="n"/>
      <c r="I243" s="289" t="n"/>
      <c r="J243" s="289" t="n"/>
      <c r="K243" s="289" t="n"/>
      <c r="L243" s="352" t="n"/>
      <c r="M243" s="289" t="n"/>
      <c r="N243" s="352" t="n">
        <v>4</v>
      </c>
      <c r="O243" s="289" t="inlineStr">
        <is>
          <t>Current/Notice/Vacant Residents</t>
        </is>
      </c>
    </row>
    <row r="244" ht="28.5" customHeight="1" s="234">
      <c r="A244" s="289" t="n"/>
      <c r="B244" s="289" t="n"/>
      <c r="C244" s="289" t="n"/>
      <c r="D244" s="289" t="n"/>
      <c r="E244" s="289" t="n"/>
      <c r="F244" s="352" t="n"/>
      <c r="G244" s="352" t="n"/>
      <c r="H244" s="352" t="n"/>
      <c r="I244" s="289" t="n"/>
      <c r="J244" s="289" t="n"/>
      <c r="K244" s="289" t="n"/>
      <c r="L244" s="352" t="n"/>
      <c r="M244" s="289" t="n"/>
      <c r="N244" s="352" t="n">
        <v>47</v>
      </c>
      <c r="O244" s="289" t="inlineStr">
        <is>
          <t>Current/Notice/Vacant Residents</t>
        </is>
      </c>
    </row>
    <row r="245" ht="28.5" customHeight="1" s="234">
      <c r="A245" s="289" t="n"/>
      <c r="B245" s="289" t="n"/>
      <c r="C245" s="289" t="n"/>
      <c r="D245" s="289" t="n"/>
      <c r="E245" s="289" t="n"/>
      <c r="F245" s="352" t="n"/>
      <c r="G245" s="352" t="n"/>
      <c r="H245" s="352" t="n"/>
      <c r="I245" s="289" t="n"/>
      <c r="J245" s="289" t="n"/>
      <c r="K245" s="289" t="n"/>
      <c r="L245" s="352" t="n"/>
      <c r="M245" s="289" t="n"/>
      <c r="N245" s="352" t="n">
        <v>26</v>
      </c>
      <c r="O245" s="289" t="inlineStr">
        <is>
          <t>Current/Notice/Vacant Residents</t>
        </is>
      </c>
    </row>
    <row r="246" ht="28.5" customHeight="1" s="234">
      <c r="A246" s="289" t="n"/>
      <c r="B246" s="289" t="n"/>
      <c r="C246" s="289" t="n"/>
      <c r="D246" s="289" t="n"/>
      <c r="E246" s="289" t="n"/>
      <c r="F246" s="352" t="n"/>
      <c r="G246" s="352" t="n"/>
      <c r="H246" s="352" t="n"/>
      <c r="I246" s="289" t="n"/>
      <c r="J246" s="289" t="n"/>
      <c r="K246" s="289" t="n"/>
      <c r="L246" s="352" t="n"/>
      <c r="M246" s="289" t="n"/>
      <c r="N246" s="352" t="n">
        <v>78</v>
      </c>
      <c r="O246" s="289" t="inlineStr">
        <is>
          <t>Current/Notice/Vacant Residents</t>
        </is>
      </c>
    </row>
    <row r="247" ht="28.5" customHeight="1" s="234">
      <c r="A247" s="289" t="n"/>
      <c r="B247" s="289" t="n"/>
      <c r="C247" s="289" t="n"/>
      <c r="D247" s="289" t="n"/>
      <c r="E247" s="289" t="n"/>
      <c r="F247" s="352" t="n"/>
      <c r="G247" s="352" t="n"/>
      <c r="H247" s="352" t="n"/>
      <c r="I247" s="289" t="n"/>
      <c r="J247" s="289" t="n"/>
      <c r="K247" s="289" t="n"/>
      <c r="L247" s="352" t="n"/>
      <c r="M247" s="289" t="n"/>
      <c r="N247" s="352" t="n">
        <v>-101</v>
      </c>
      <c r="O247" s="289" t="inlineStr">
        <is>
          <t>Current/Notice/Vacant Residents</t>
        </is>
      </c>
    </row>
    <row r="248" ht="28.5" customHeight="1" s="234">
      <c r="A248" s="289" t="n"/>
      <c r="B248" s="289" t="n"/>
      <c r="C248" s="289" t="n"/>
      <c r="D248" s="289" t="n"/>
      <c r="E248" s="289" t="n"/>
      <c r="F248" s="352" t="n"/>
      <c r="G248" s="352" t="n"/>
      <c r="H248" s="352" t="n"/>
      <c r="I248" s="289" t="n"/>
      <c r="J248" s="289" t="n"/>
      <c r="K248" s="289" t="n"/>
      <c r="L248" s="352" t="n"/>
      <c r="M248" s="289" t="n"/>
      <c r="N248" s="352" t="n">
        <v>67</v>
      </c>
      <c r="O248" s="289" t="inlineStr">
        <is>
          <t>Current/Notice/Vacant Residents</t>
        </is>
      </c>
    </row>
    <row r="249" ht="28.5" customHeight="1" s="234">
      <c r="A249" s="289" t="n"/>
      <c r="B249" s="289" t="n"/>
      <c r="C249" s="289" t="n"/>
      <c r="D249" s="289" t="n"/>
      <c r="E249" s="289" t="n"/>
      <c r="F249" s="352" t="n"/>
      <c r="G249" s="352" t="n"/>
      <c r="H249" s="352" t="n"/>
      <c r="I249" s="289" t="n"/>
      <c r="J249" s="289" t="n"/>
      <c r="K249" s="289" t="n"/>
      <c r="L249" s="352" t="n"/>
      <c r="M249" s="289" t="n"/>
      <c r="N249" s="352" t="n">
        <v>91</v>
      </c>
      <c r="O249" s="289" t="inlineStr">
        <is>
          <t>Current/Notice/Vacant Residents</t>
        </is>
      </c>
    </row>
    <row r="250" ht="28.5" customHeight="1" s="234">
      <c r="A250" s="289" t="n"/>
      <c r="B250" s="289" t="n"/>
      <c r="C250" s="289" t="n"/>
      <c r="D250" s="289" t="n"/>
      <c r="E250" s="289" t="n"/>
      <c r="F250" s="352" t="n"/>
      <c r="G250" s="352" t="n"/>
      <c r="H250" s="352" t="n"/>
      <c r="I250" s="289" t="n"/>
      <c r="J250" s="289" t="n"/>
      <c r="K250" s="289" t="n"/>
      <c r="L250" s="352" t="n"/>
      <c r="M250" s="289" t="n"/>
      <c r="N250" s="352" t="n">
        <v>-51</v>
      </c>
      <c r="O250" s="289" t="inlineStr">
        <is>
          <t>Current/Notice/Vacant Residents</t>
        </is>
      </c>
    </row>
    <row r="251" ht="28.5" customHeight="1" s="234">
      <c r="A251" s="289" t="n"/>
      <c r="B251" s="289" t="n"/>
      <c r="C251" s="289" t="n"/>
      <c r="D251" s="289" t="n"/>
      <c r="E251" s="289" t="n"/>
      <c r="F251" s="352" t="n"/>
      <c r="G251" s="352" t="n"/>
      <c r="H251" s="352" t="n"/>
      <c r="I251" s="289" t="n"/>
      <c r="J251" s="289" t="n"/>
      <c r="K251" s="289" t="n"/>
      <c r="L251" s="352" t="n"/>
      <c r="M251" s="289" t="n"/>
      <c r="N251" s="352" t="n">
        <v>52</v>
      </c>
      <c r="O251" s="289" t="inlineStr">
        <is>
          <t>Current/Notice/Vacant Residents</t>
        </is>
      </c>
    </row>
    <row r="252" ht="28.5" customHeight="1" s="234">
      <c r="A252" s="289" t="n"/>
      <c r="B252" s="289" t="n"/>
      <c r="C252" s="289" t="n"/>
      <c r="D252" s="289" t="n"/>
      <c r="E252" s="289" t="n"/>
      <c r="F252" s="352" t="n"/>
      <c r="G252" s="352" t="n"/>
      <c r="H252" s="352" t="n"/>
      <c r="I252" s="289" t="n"/>
      <c r="J252" s="289" t="n"/>
      <c r="K252" s="289" t="n"/>
      <c r="L252" s="352" t="n"/>
      <c r="M252" s="289" t="n"/>
      <c r="N252" s="352" t="n">
        <v>-5</v>
      </c>
      <c r="O252" s="289" t="inlineStr">
        <is>
          <t>Current/Notice/Vacant Residents</t>
        </is>
      </c>
    </row>
    <row r="253" ht="28.5" customHeight="1" s="234">
      <c r="A253" s="289" t="n"/>
      <c r="B253" s="289" t="n"/>
      <c r="C253" s="289" t="n"/>
      <c r="D253" s="289" t="n"/>
      <c r="E253" s="289" t="n"/>
      <c r="F253" s="352" t="n"/>
      <c r="G253" s="352" t="n"/>
      <c r="H253" s="352" t="n"/>
      <c r="I253" s="289" t="n"/>
      <c r="J253" s="289" t="n"/>
      <c r="K253" s="289" t="n"/>
      <c r="L253" s="352" t="n"/>
      <c r="M253" s="289" t="n"/>
      <c r="N253" s="352" t="n">
        <v>-55</v>
      </c>
      <c r="O253" s="289" t="inlineStr">
        <is>
          <t>Current/Notice/Vacant Residents</t>
        </is>
      </c>
    </row>
    <row r="254" ht="28.5" customHeight="1" s="234">
      <c r="A254" s="289" t="n"/>
      <c r="B254" s="289" t="n"/>
      <c r="C254" s="289" t="n"/>
      <c r="D254" s="289" t="n"/>
      <c r="E254" s="289" t="n"/>
      <c r="F254" s="352" t="n"/>
      <c r="G254" s="352" t="n"/>
      <c r="H254" s="352" t="n"/>
      <c r="I254" s="289" t="n"/>
      <c r="J254" s="289" t="n"/>
      <c r="K254" s="289" t="n"/>
      <c r="L254" s="352" t="n"/>
      <c r="M254" s="289" t="n"/>
      <c r="N254" s="352" t="n">
        <v>-7</v>
      </c>
      <c r="O254" s="289" t="inlineStr">
        <is>
          <t>Current/Notice/Vacant Residents</t>
        </is>
      </c>
    </row>
    <row r="255" ht="28.5" customHeight="1" s="234">
      <c r="A255" s="289" t="n"/>
      <c r="B255" s="289" t="n"/>
      <c r="C255" s="289" t="n"/>
      <c r="D255" s="289" t="n"/>
      <c r="E255" s="289" t="n"/>
      <c r="F255" s="352" t="n"/>
      <c r="G255" s="352" t="n"/>
      <c r="H255" s="352" t="n"/>
      <c r="I255" s="289" t="n"/>
      <c r="J255" s="289" t="n"/>
      <c r="K255" s="289" t="n"/>
      <c r="L255" s="352" t="n"/>
      <c r="M255" s="289" t="n"/>
      <c r="N255" s="352" t="n">
        <v>75</v>
      </c>
      <c r="O255" s="289" t="inlineStr">
        <is>
          <t>Current/Notice/Vacant Residents</t>
        </is>
      </c>
    </row>
    <row r="256" ht="28.5" customHeight="1" s="234">
      <c r="A256" s="289" t="n"/>
      <c r="B256" s="289" t="n"/>
      <c r="C256" s="289" t="n"/>
      <c r="D256" s="289" t="n"/>
      <c r="E256" s="289" t="n"/>
      <c r="F256" s="352" t="n"/>
      <c r="G256" s="352" t="n"/>
      <c r="H256" s="352" t="n"/>
      <c r="I256" s="289" t="n"/>
      <c r="J256" s="289" t="n"/>
      <c r="K256" s="289" t="n"/>
      <c r="L256" s="352" t="n"/>
      <c r="M256" s="289" t="n"/>
      <c r="N256" s="352" t="n">
        <v>-16</v>
      </c>
      <c r="O256" s="289" t="inlineStr">
        <is>
          <t>Current/Notice/Vacant Residents</t>
        </is>
      </c>
    </row>
    <row r="257" ht="28.5" customHeight="1" s="234">
      <c r="A257" s="289" t="n"/>
      <c r="B257" s="289" t="n"/>
      <c r="C257" s="289" t="n"/>
      <c r="D257" s="289" t="n"/>
      <c r="E257" s="289" t="n"/>
      <c r="F257" s="352" t="n"/>
      <c r="G257" s="352" t="n"/>
      <c r="H257" s="352" t="n"/>
      <c r="I257" s="289" t="n"/>
      <c r="J257" s="289" t="n"/>
      <c r="K257" s="289" t="n"/>
      <c r="L257" s="352" t="n"/>
      <c r="M257" s="289" t="n"/>
      <c r="N257" s="352" t="n">
        <v>21</v>
      </c>
      <c r="O257" s="289" t="inlineStr">
        <is>
          <t>Current/Notice/Vacant Residents</t>
        </is>
      </c>
    </row>
    <row r="258" ht="28.5" customHeight="1" s="234">
      <c r="A258" s="289" t="n"/>
      <c r="B258" s="289" t="n"/>
      <c r="C258" s="289" t="n"/>
      <c r="D258" s="289" t="n"/>
      <c r="E258" s="289" t="n"/>
      <c r="F258" s="352" t="n"/>
      <c r="G258" s="352" t="n"/>
      <c r="H258" s="352" t="n"/>
      <c r="I258" s="289" t="n"/>
      <c r="J258" s="289" t="n"/>
      <c r="K258" s="289" t="n"/>
      <c r="L258" s="352" t="n"/>
      <c r="M258" s="289" t="n"/>
      <c r="N258" s="352" t="n">
        <v>23</v>
      </c>
      <c r="O258" s="289" t="inlineStr">
        <is>
          <t>Current/Notice/Vacant Residents</t>
        </is>
      </c>
    </row>
    <row r="259" ht="28.5" customHeight="1" s="234">
      <c r="A259" s="289" t="n"/>
      <c r="B259" s="289" t="n"/>
      <c r="C259" s="289" t="n"/>
      <c r="D259" s="289" t="n"/>
      <c r="E259" s="289" t="n"/>
      <c r="F259" s="352" t="n"/>
      <c r="G259" s="352" t="n"/>
      <c r="H259" s="352" t="n"/>
      <c r="I259" s="289" t="n"/>
      <c r="J259" s="289" t="n"/>
      <c r="K259" s="289" t="n"/>
      <c r="L259" s="352" t="n"/>
      <c r="M259" s="289" t="n"/>
      <c r="N259" s="352" t="n">
        <v>24</v>
      </c>
      <c r="O259" s="289" t="inlineStr">
        <is>
          <t>Current/Notice/Vacant Residents</t>
        </is>
      </c>
    </row>
    <row r="260">
      <c r="A260" s="289" t="n"/>
      <c r="B260" s="289" t="n"/>
      <c r="C260" s="289" t="n"/>
      <c r="D260" s="289" t="n"/>
      <c r="E260" s="289" t="n"/>
      <c r="F260" s="352" t="n"/>
      <c r="G260" s="352" t="n"/>
      <c r="H260" s="352" t="n"/>
      <c r="I260" s="289" t="n"/>
      <c r="J260" s="289" t="n"/>
      <c r="K260" s="289" t="n"/>
      <c r="L260" s="352" t="n"/>
      <c r="M260" s="289" t="n"/>
      <c r="N260" s="352" t="n">
        <v>1461</v>
      </c>
      <c r="O260" s="289" t="inlineStr">
        <is>
          <t>Current/Notice/Vacant Residents</t>
        </is>
      </c>
    </row>
    <row r="261" ht="28.5" customHeight="1" s="234">
      <c r="A261" s="289" t="n"/>
      <c r="B261" s="289" t="n"/>
      <c r="C261" s="289" t="n"/>
      <c r="D261" s="289" t="n"/>
      <c r="E261" s="289" t="n"/>
      <c r="F261" s="352" t="n"/>
      <c r="G261" s="352" t="n"/>
      <c r="H261" s="352" t="n"/>
      <c r="I261" s="289" t="n"/>
      <c r="J261" s="289" t="n"/>
      <c r="K261" s="289" t="n"/>
      <c r="L261" s="352" t="n"/>
      <c r="M261" s="289" t="n"/>
      <c r="N261" s="352" t="n">
        <v>-14</v>
      </c>
      <c r="O261" s="289" t="inlineStr">
        <is>
          <t>Current/Notice/Vacant Residents</t>
        </is>
      </c>
    </row>
    <row r="262" ht="28.5" customHeight="1" s="234">
      <c r="A262" s="289" t="n"/>
      <c r="B262" s="289" t="n"/>
      <c r="C262" s="289" t="n"/>
      <c r="D262" s="289" t="n"/>
      <c r="E262" s="289" t="n"/>
      <c r="F262" s="352" t="n"/>
      <c r="G262" s="352" t="n"/>
      <c r="H262" s="352" t="n"/>
      <c r="I262" s="289" t="n"/>
      <c r="J262" s="289" t="n"/>
      <c r="K262" s="289" t="n"/>
      <c r="L262" s="352" t="n"/>
      <c r="M262" s="289" t="n"/>
      <c r="N262" s="352" t="n">
        <v>56</v>
      </c>
      <c r="O262" s="289" t="inlineStr">
        <is>
          <t>Current/Notice/Vacant Residents</t>
        </is>
      </c>
    </row>
    <row r="263">
      <c r="A263" s="289" t="n"/>
      <c r="B263" s="289" t="n"/>
      <c r="C263" s="289" t="n"/>
      <c r="D263" s="289" t="n"/>
      <c r="E263" s="289" t="n"/>
      <c r="F263" s="352" t="n"/>
      <c r="G263" s="352" t="n"/>
      <c r="H263" s="352" t="n"/>
      <c r="I263" s="289" t="n"/>
      <c r="J263" s="289" t="n"/>
      <c r="K263" s="289" t="n"/>
      <c r="L263" s="352" t="n"/>
      <c r="M263" s="289" t="n"/>
      <c r="N263" s="352" t="n">
        <v>1674</v>
      </c>
      <c r="O263" s="289" t="inlineStr">
        <is>
          <t>Current/Notice/Vacant Residents</t>
        </is>
      </c>
    </row>
    <row r="264" ht="28.5" customHeight="1" s="234">
      <c r="A264" s="289" t="n"/>
      <c r="B264" s="289" t="n"/>
      <c r="C264" s="289" t="n"/>
      <c r="D264" s="289" t="n"/>
      <c r="E264" s="289" t="n"/>
      <c r="F264" s="352" t="n"/>
      <c r="G264" s="352" t="n"/>
      <c r="H264" s="352" t="n"/>
      <c r="I264" s="289" t="n"/>
      <c r="J264" s="289" t="n"/>
      <c r="K264" s="289" t="n"/>
      <c r="L264" s="352" t="n"/>
      <c r="M264" s="289" t="n"/>
      <c r="N264" s="352" t="n">
        <v>-52</v>
      </c>
      <c r="O264" s="289" t="inlineStr">
        <is>
          <t>Current/Notice/Vacant Residents</t>
        </is>
      </c>
    </row>
    <row r="265" ht="28.5" customHeight="1" s="234">
      <c r="A265" s="289" t="n"/>
      <c r="B265" s="289" t="n"/>
      <c r="C265" s="289" t="n"/>
      <c r="D265" s="289" t="n"/>
      <c r="E265" s="289" t="n"/>
      <c r="F265" s="352" t="n"/>
      <c r="G265" s="352" t="n"/>
      <c r="H265" s="352" t="n"/>
      <c r="I265" s="289" t="n"/>
      <c r="J265" s="289" t="n"/>
      <c r="K265" s="289" t="n"/>
      <c r="L265" s="352" t="n"/>
      <c r="M265" s="289" t="n"/>
      <c r="N265" s="352" t="n">
        <v>10</v>
      </c>
      <c r="O265" s="289" t="inlineStr">
        <is>
          <t>Current/Notice/Vacant Residents</t>
        </is>
      </c>
    </row>
    <row r="266" ht="28.5" customHeight="1" s="234">
      <c r="A266" s="289" t="n"/>
      <c r="B266" s="289" t="n"/>
      <c r="C266" s="289" t="n"/>
      <c r="D266" s="289" t="n"/>
      <c r="E266" s="289" t="n"/>
      <c r="F266" s="352" t="n"/>
      <c r="G266" s="352" t="n"/>
      <c r="H266" s="352" t="n"/>
      <c r="I266" s="289" t="n"/>
      <c r="J266" s="289" t="n"/>
      <c r="K266" s="289" t="n"/>
      <c r="L266" s="352" t="n"/>
      <c r="M266" s="289" t="n"/>
      <c r="N266" s="352" t="n">
        <v>-18</v>
      </c>
      <c r="O266" s="289" t="inlineStr">
        <is>
          <t>Current/Notice/Vacant Residents</t>
        </is>
      </c>
    </row>
    <row r="267" ht="28.5" customHeight="1" s="234">
      <c r="A267" s="289" t="n"/>
      <c r="B267" s="289" t="n"/>
      <c r="C267" s="289" t="n"/>
      <c r="D267" s="289" t="n"/>
      <c r="E267" s="289" t="n"/>
      <c r="F267" s="352" t="n"/>
      <c r="G267" s="352" t="n"/>
      <c r="H267" s="352" t="n"/>
      <c r="I267" s="289" t="n"/>
      <c r="J267" s="289" t="n"/>
      <c r="K267" s="289" t="n"/>
      <c r="L267" s="352" t="n"/>
      <c r="M267" s="289" t="n"/>
      <c r="N267" s="352" t="n">
        <v>38</v>
      </c>
      <c r="O267" s="289" t="inlineStr">
        <is>
          <t>Current/Notice/Vacant Residents</t>
        </is>
      </c>
    </row>
    <row r="268" ht="28.5" customHeight="1" s="234">
      <c r="A268" s="289" t="n"/>
      <c r="B268" s="289" t="n"/>
      <c r="C268" s="289" t="n"/>
      <c r="D268" s="289" t="n"/>
      <c r="E268" s="289" t="n"/>
      <c r="F268" s="352" t="n"/>
      <c r="G268" s="352" t="n"/>
      <c r="H268" s="352" t="n"/>
      <c r="I268" s="289" t="n"/>
      <c r="J268" s="289" t="n"/>
      <c r="K268" s="289" t="n"/>
      <c r="L268" s="352" t="n"/>
      <c r="M268" s="289" t="n"/>
      <c r="N268" s="352" t="n">
        <v>0</v>
      </c>
      <c r="O268" s="289" t="inlineStr">
        <is>
          <t>Current/Notice/Vacant Residents</t>
        </is>
      </c>
    </row>
    <row r="269" ht="28.5" customHeight="1" s="234">
      <c r="A269" s="289" t="n"/>
      <c r="B269" s="289" t="n"/>
      <c r="C269" s="289" t="n"/>
      <c r="D269" s="289" t="n"/>
      <c r="E269" s="289" t="n"/>
      <c r="F269" s="352" t="n"/>
      <c r="G269" s="352" t="n"/>
      <c r="H269" s="352" t="n"/>
      <c r="I269" s="289" t="n"/>
      <c r="J269" s="289" t="n"/>
      <c r="K269" s="289" t="n"/>
      <c r="L269" s="352" t="n"/>
      <c r="M269" s="289" t="n"/>
      <c r="N269" s="352" t="n">
        <v>3</v>
      </c>
      <c r="O269" s="289" t="inlineStr">
        <is>
          <t>Current/Notice/Vacant Residents</t>
        </is>
      </c>
    </row>
    <row r="270" ht="28.5" customHeight="1" s="234">
      <c r="A270" s="289" t="n"/>
      <c r="B270" s="289" t="n"/>
      <c r="C270" s="289" t="n"/>
      <c r="D270" s="289" t="n"/>
      <c r="E270" s="289" t="n"/>
      <c r="F270" s="352" t="n"/>
      <c r="G270" s="352" t="n"/>
      <c r="H270" s="352" t="n"/>
      <c r="I270" s="289" t="n"/>
      <c r="J270" s="289" t="n"/>
      <c r="K270" s="289" t="n"/>
      <c r="L270" s="352" t="n"/>
      <c r="M270" s="289" t="n"/>
      <c r="N270" s="352" t="n">
        <v>126</v>
      </c>
      <c r="O270" s="289" t="inlineStr">
        <is>
          <t>Current/Notice/Vacant Residents</t>
        </is>
      </c>
    </row>
    <row r="271" ht="28.5" customHeight="1" s="234">
      <c r="A271" s="289" t="n"/>
      <c r="B271" s="289" t="n"/>
      <c r="C271" s="289" t="n"/>
      <c r="D271" s="289" t="n"/>
      <c r="E271" s="289" t="n"/>
      <c r="F271" s="352" t="n"/>
      <c r="G271" s="352" t="n"/>
      <c r="H271" s="352" t="n"/>
      <c r="I271" s="289" t="n"/>
      <c r="J271" s="289" t="n"/>
      <c r="K271" s="289" t="n"/>
      <c r="L271" s="352" t="n"/>
      <c r="M271" s="289" t="n"/>
      <c r="N271" s="352" t="n">
        <v>-138</v>
      </c>
      <c r="O271" s="289" t="inlineStr">
        <is>
          <t>Current/Notice/Vacant Residents</t>
        </is>
      </c>
    </row>
    <row r="272" ht="28.5" customHeight="1" s="234">
      <c r="A272" s="289" t="n"/>
      <c r="B272" s="289" t="n"/>
      <c r="C272" s="289" t="n"/>
      <c r="D272" s="289" t="n"/>
      <c r="E272" s="289" t="n"/>
      <c r="F272" s="352" t="n"/>
      <c r="G272" s="352" t="n"/>
      <c r="H272" s="352" t="n"/>
      <c r="I272" s="289" t="n"/>
      <c r="J272" s="289" t="n"/>
      <c r="K272" s="289" t="n"/>
      <c r="L272" s="352" t="n"/>
      <c r="M272" s="289" t="n"/>
      <c r="N272" s="352" t="n">
        <v>-98</v>
      </c>
      <c r="O272" s="289" t="inlineStr">
        <is>
          <t>Current/Notice/Vacant Residents</t>
        </is>
      </c>
    </row>
    <row r="273" ht="28.5" customHeight="1" s="234">
      <c r="A273" s="289" t="n"/>
      <c r="B273" s="289" t="n"/>
      <c r="C273" s="289" t="n"/>
      <c r="D273" s="289" t="n"/>
      <c r="E273" s="289" t="n"/>
      <c r="F273" s="352" t="n"/>
      <c r="G273" s="352" t="n"/>
      <c r="H273" s="352" t="n"/>
      <c r="I273" s="289" t="n"/>
      <c r="J273" s="289" t="n"/>
      <c r="K273" s="289" t="n"/>
      <c r="L273" s="352" t="n"/>
      <c r="M273" s="289" t="n"/>
      <c r="N273" s="352" t="n">
        <v>-3</v>
      </c>
      <c r="O273" s="289" t="inlineStr">
        <is>
          <t>Current/Notice/Vacant Residents</t>
        </is>
      </c>
    </row>
    <row r="274" ht="28.5" customHeight="1" s="234">
      <c r="A274" s="289" t="n"/>
      <c r="B274" s="289" t="n"/>
      <c r="C274" s="289" t="n"/>
      <c r="D274" s="289" t="n"/>
      <c r="E274" s="289" t="n"/>
      <c r="F274" s="352" t="n"/>
      <c r="G274" s="352" t="n"/>
      <c r="H274" s="352" t="n"/>
      <c r="I274" s="289" t="n"/>
      <c r="J274" s="289" t="n"/>
      <c r="K274" s="289" t="n"/>
      <c r="L274" s="352" t="n"/>
      <c r="M274" s="289" t="n"/>
      <c r="N274" s="352" t="n">
        <v>12</v>
      </c>
      <c r="O274" s="289" t="inlineStr">
        <is>
          <t>Current/Notice/Vacant Residents</t>
        </is>
      </c>
    </row>
    <row r="275" ht="28.5" customHeight="1" s="234">
      <c r="A275" s="289" t="n"/>
      <c r="B275" s="289" t="n"/>
      <c r="C275" s="289" t="n"/>
      <c r="D275" s="289" t="n"/>
      <c r="E275" s="289" t="n"/>
      <c r="F275" s="352" t="n"/>
      <c r="G275" s="352" t="n"/>
      <c r="H275" s="352" t="n"/>
      <c r="I275" s="289" t="n"/>
      <c r="J275" s="289" t="n"/>
      <c r="K275" s="289" t="n"/>
      <c r="L275" s="352" t="n"/>
      <c r="M275" s="289" t="n"/>
      <c r="N275" s="352" t="n">
        <v>-224</v>
      </c>
      <c r="O275" s="289" t="inlineStr">
        <is>
          <t>Current/Notice/Vacant Residents</t>
        </is>
      </c>
    </row>
    <row r="276" ht="28.5" customHeight="1" s="234">
      <c r="A276" s="289" t="n"/>
      <c r="B276" s="289" t="n"/>
      <c r="C276" s="289" t="n"/>
      <c r="D276" s="289" t="n"/>
      <c r="E276" s="289" t="n"/>
      <c r="F276" s="352" t="n"/>
      <c r="G276" s="352" t="n"/>
      <c r="H276" s="352" t="n"/>
      <c r="I276" s="289" t="n"/>
      <c r="J276" s="289" t="n"/>
      <c r="K276" s="289" t="n"/>
      <c r="L276" s="352" t="n"/>
      <c r="M276" s="289" t="n"/>
      <c r="N276" s="352" t="n">
        <v>-21</v>
      </c>
      <c r="O276" s="289" t="inlineStr">
        <is>
          <t>Current/Notice/Vacant Residents</t>
        </is>
      </c>
    </row>
    <row r="277" ht="28.5" customHeight="1" s="234">
      <c r="A277" s="289" t="n"/>
      <c r="B277" s="289" t="n"/>
      <c r="C277" s="289" t="n"/>
      <c r="D277" s="289" t="n"/>
      <c r="E277" s="289" t="n"/>
      <c r="F277" s="352" t="n"/>
      <c r="G277" s="352" t="n"/>
      <c r="H277" s="352" t="n"/>
      <c r="I277" s="289" t="n"/>
      <c r="J277" s="289" t="n"/>
      <c r="K277" s="289" t="n"/>
      <c r="L277" s="352" t="n"/>
      <c r="M277" s="289" t="n"/>
      <c r="N277" s="352" t="n">
        <v>-80</v>
      </c>
      <c r="O277" s="289" t="inlineStr">
        <is>
          <t>Current/Notice/Vacant Residents</t>
        </is>
      </c>
    </row>
    <row r="278" ht="28.5" customHeight="1" s="234">
      <c r="A278" s="289" t="n"/>
      <c r="B278" s="289" t="n"/>
      <c r="C278" s="289" t="n"/>
      <c r="D278" s="289" t="n"/>
      <c r="E278" s="289" t="n"/>
      <c r="F278" s="352" t="n"/>
      <c r="G278" s="352" t="n"/>
      <c r="H278" s="352" t="n"/>
      <c r="I278" s="289" t="n"/>
      <c r="J278" s="289" t="n"/>
      <c r="K278" s="289" t="n"/>
      <c r="L278" s="352" t="n"/>
      <c r="M278" s="289" t="n"/>
      <c r="N278" s="352" t="n">
        <v>-91</v>
      </c>
      <c r="O278" s="289" t="inlineStr">
        <is>
          <t>Current/Notice/Vacant Residents</t>
        </is>
      </c>
    </row>
    <row r="279" ht="28.5" customHeight="1" s="234">
      <c r="A279" s="289" t="n"/>
      <c r="B279" s="289" t="n"/>
      <c r="C279" s="289" t="n"/>
      <c r="D279" s="289" t="n"/>
      <c r="E279" s="289" t="n"/>
      <c r="F279" s="352" t="n"/>
      <c r="G279" s="352" t="n"/>
      <c r="H279" s="352" t="n"/>
      <c r="I279" s="289" t="n"/>
      <c r="J279" s="289" t="n"/>
      <c r="K279" s="289" t="n"/>
      <c r="L279" s="352" t="n"/>
      <c r="M279" s="289" t="n"/>
      <c r="N279" s="352" t="n">
        <v>89</v>
      </c>
      <c r="O279" s="289" t="inlineStr">
        <is>
          <t>Current/Notice/Vacant Residents</t>
        </is>
      </c>
    </row>
    <row r="280" ht="28.5" customHeight="1" s="234">
      <c r="A280" s="289" t="n"/>
      <c r="B280" s="289" t="n"/>
      <c r="C280" s="289" t="n"/>
      <c r="D280" s="289" t="n"/>
      <c r="E280" s="289" t="n"/>
      <c r="F280" s="352" t="n"/>
      <c r="G280" s="352" t="n"/>
      <c r="H280" s="352" t="n"/>
      <c r="I280" s="289" t="n"/>
      <c r="J280" s="289" t="n"/>
      <c r="K280" s="289" t="n"/>
      <c r="L280" s="352" t="n"/>
      <c r="M280" s="289" t="n"/>
      <c r="N280" s="352" t="n">
        <v>25</v>
      </c>
      <c r="O280" s="289" t="inlineStr">
        <is>
          <t>Current/Notice/Vacant Residents</t>
        </is>
      </c>
    </row>
    <row r="281" ht="28.5" customHeight="1" s="234">
      <c r="A281" s="289" t="n"/>
      <c r="B281" s="289" t="n"/>
      <c r="C281" s="289" t="n"/>
      <c r="D281" s="289" t="n"/>
      <c r="E281" s="289" t="n"/>
      <c r="F281" s="352" t="n"/>
      <c r="G281" s="352" t="n"/>
      <c r="H281" s="352" t="n"/>
      <c r="I281" s="289" t="n"/>
      <c r="J281" s="289" t="n"/>
      <c r="K281" s="289" t="n"/>
      <c r="L281" s="352" t="n"/>
      <c r="M281" s="289" t="n"/>
      <c r="N281" s="352" t="n">
        <v>194</v>
      </c>
      <c r="O281" s="289" t="inlineStr">
        <is>
          <t>Current/Notice/Vacant Residents</t>
        </is>
      </c>
    </row>
    <row r="282" ht="28.5" customHeight="1" s="234">
      <c r="A282" s="289" t="n"/>
      <c r="B282" s="289" t="n"/>
      <c r="C282" s="289" t="n"/>
      <c r="D282" s="289" t="n"/>
      <c r="E282" s="289" t="n"/>
      <c r="F282" s="352" t="n"/>
      <c r="G282" s="352" t="n"/>
      <c r="H282" s="352" t="n"/>
      <c r="I282" s="289" t="n"/>
      <c r="J282" s="289" t="n"/>
      <c r="K282" s="289" t="n"/>
      <c r="L282" s="352" t="n"/>
      <c r="M282" s="289" t="n"/>
      <c r="N282" s="352" t="n">
        <v>-85</v>
      </c>
      <c r="O282" s="289" t="inlineStr">
        <is>
          <t>Current/Notice/Vacant Residents</t>
        </is>
      </c>
    </row>
    <row r="283" ht="28.5" customHeight="1" s="234">
      <c r="A283" s="289" t="n"/>
      <c r="B283" s="289" t="n"/>
      <c r="C283" s="289" t="n"/>
      <c r="D283" s="289" t="n"/>
      <c r="E283" s="289" t="n"/>
      <c r="F283" s="352" t="n"/>
      <c r="G283" s="352" t="n"/>
      <c r="H283" s="352" t="n"/>
      <c r="I283" s="289" t="n"/>
      <c r="J283" s="289" t="n"/>
      <c r="K283" s="289" t="n"/>
      <c r="L283" s="352" t="n"/>
      <c r="M283" s="289" t="n"/>
      <c r="N283" s="352" t="n">
        <v>-147</v>
      </c>
      <c r="O283" s="289" t="inlineStr">
        <is>
          <t>Current/Notice/Vacant Residents</t>
        </is>
      </c>
    </row>
    <row r="284" ht="28.5" customHeight="1" s="234">
      <c r="A284" s="289" t="n"/>
      <c r="B284" s="289" t="n"/>
      <c r="C284" s="289" t="n"/>
      <c r="D284" s="289" t="n"/>
      <c r="E284" s="289" t="n"/>
      <c r="F284" s="352" t="n"/>
      <c r="G284" s="352" t="n"/>
      <c r="H284" s="352" t="n"/>
      <c r="I284" s="289" t="n"/>
      <c r="J284" s="289" t="n"/>
      <c r="K284" s="289" t="n"/>
      <c r="L284" s="352" t="n"/>
      <c r="M284" s="289" t="n"/>
      <c r="N284" s="352" t="n">
        <v>-72</v>
      </c>
      <c r="O284" s="289" t="inlineStr">
        <is>
          <t>Current/Notice/Vacant Residents</t>
        </is>
      </c>
    </row>
    <row r="285" ht="28.5" customHeight="1" s="234">
      <c r="A285" s="289" t="n"/>
      <c r="B285" s="289" t="n"/>
      <c r="C285" s="289" t="n"/>
      <c r="D285" s="289" t="n"/>
      <c r="E285" s="289" t="n"/>
      <c r="F285" s="352" t="n"/>
      <c r="G285" s="352" t="n"/>
      <c r="H285" s="352" t="n"/>
      <c r="I285" s="289" t="n"/>
      <c r="J285" s="289" t="n"/>
      <c r="K285" s="289" t="n"/>
      <c r="L285" s="352" t="n"/>
      <c r="M285" s="289" t="n"/>
      <c r="N285" s="352" t="n">
        <v>-48</v>
      </c>
      <c r="O285" s="289" t="inlineStr">
        <is>
          <t>Current/Notice/Vacant Residents</t>
        </is>
      </c>
    </row>
    <row r="286" ht="28.5" customHeight="1" s="234">
      <c r="A286" s="289" t="n"/>
      <c r="B286" s="289" t="n"/>
      <c r="C286" s="289" t="n"/>
      <c r="D286" s="289" t="n"/>
      <c r="E286" s="289" t="n"/>
      <c r="F286" s="352" t="n"/>
      <c r="G286" s="352" t="n"/>
      <c r="H286" s="352" t="n"/>
      <c r="I286" s="289" t="n"/>
      <c r="J286" s="289" t="n"/>
      <c r="K286" s="289" t="n"/>
      <c r="L286" s="352" t="n"/>
      <c r="M286" s="289" t="n"/>
      <c r="N286" s="352" t="n">
        <v>-246</v>
      </c>
      <c r="O286" s="289" t="inlineStr">
        <is>
          <t>Current/Notice/Vacant Residents</t>
        </is>
      </c>
    </row>
    <row r="287" ht="28.5" customHeight="1" s="234">
      <c r="A287" s="289" t="n"/>
      <c r="B287" s="289" t="n"/>
      <c r="C287" s="289" t="n"/>
      <c r="D287" s="289" t="n"/>
      <c r="E287" s="289" t="n"/>
      <c r="F287" s="352" t="n"/>
      <c r="G287" s="352" t="n"/>
      <c r="H287" s="352" t="n"/>
      <c r="I287" s="289" t="n"/>
      <c r="J287" s="289" t="n"/>
      <c r="K287" s="289" t="n"/>
      <c r="L287" s="352" t="n"/>
      <c r="M287" s="289" t="n"/>
      <c r="N287" s="352" t="n">
        <v>124</v>
      </c>
      <c r="O287" s="289" t="inlineStr">
        <is>
          <t>Current/Notice/Vacant Residents</t>
        </is>
      </c>
    </row>
    <row r="288" ht="28.5" customHeight="1" s="234">
      <c r="A288" s="289" t="n"/>
      <c r="B288" s="289" t="n"/>
      <c r="C288" s="289" t="n"/>
      <c r="D288" s="289" t="n"/>
      <c r="E288" s="289" t="n"/>
      <c r="F288" s="352" t="n"/>
      <c r="G288" s="352" t="n"/>
      <c r="H288" s="352" t="n"/>
      <c r="I288" s="289" t="n"/>
      <c r="J288" s="289" t="n"/>
      <c r="K288" s="289" t="n"/>
      <c r="L288" s="352" t="n"/>
      <c r="M288" s="289" t="n"/>
      <c r="N288" s="352" t="n">
        <v>-93</v>
      </c>
      <c r="O288" s="289" t="inlineStr">
        <is>
          <t>Current/Notice/Vacant Residents</t>
        </is>
      </c>
    </row>
    <row r="289" ht="28.5" customHeight="1" s="234">
      <c r="A289" s="289" t="n"/>
      <c r="B289" s="289" t="n"/>
      <c r="C289" s="289" t="n"/>
      <c r="D289" s="289" t="n"/>
      <c r="E289" s="289" t="n"/>
      <c r="F289" s="352" t="n"/>
      <c r="G289" s="352" t="n"/>
      <c r="H289" s="352" t="n"/>
      <c r="I289" s="289" t="n"/>
      <c r="J289" s="289" t="n"/>
      <c r="K289" s="289" t="n"/>
      <c r="L289" s="352" t="n"/>
      <c r="M289" s="289" t="n"/>
      <c r="N289" s="352" t="n">
        <v>-351</v>
      </c>
      <c r="O289" s="289" t="inlineStr">
        <is>
          <t>Current/Notice/Vacant Residents</t>
        </is>
      </c>
    </row>
    <row r="290" ht="28.5" customHeight="1" s="234">
      <c r="A290" s="289" t="n"/>
      <c r="B290" s="289" t="n"/>
      <c r="C290" s="289" t="n"/>
      <c r="D290" s="289" t="n"/>
      <c r="E290" s="289" t="n"/>
      <c r="F290" s="352" t="n"/>
      <c r="G290" s="352" t="n"/>
      <c r="H290" s="352" t="n"/>
      <c r="I290" s="289" t="n"/>
      <c r="J290" s="289" t="n"/>
      <c r="K290" s="289" t="n"/>
      <c r="L290" s="352" t="n"/>
      <c r="M290" s="289" t="n"/>
      <c r="N290" s="352" t="n">
        <v>-43</v>
      </c>
      <c r="O290" s="289" t="inlineStr">
        <is>
          <t>Current/Notice/Vacant Residents</t>
        </is>
      </c>
    </row>
    <row r="291" ht="28.5" customHeight="1" s="234">
      <c r="A291" s="289" t="n"/>
      <c r="B291" s="289" t="n"/>
      <c r="C291" s="289" t="n"/>
      <c r="D291" s="289" t="n"/>
      <c r="E291" s="289" t="n"/>
      <c r="F291" s="352" t="n"/>
      <c r="G291" s="352" t="n"/>
      <c r="H291" s="352" t="n"/>
      <c r="I291" s="289" t="n"/>
      <c r="J291" s="289" t="n"/>
      <c r="K291" s="289" t="n"/>
      <c r="L291" s="352" t="n"/>
      <c r="M291" s="289" t="n"/>
      <c r="N291" s="352" t="n">
        <v>-424</v>
      </c>
      <c r="O291" s="289" t="inlineStr">
        <is>
          <t>Current/Notice/Vacant Residents</t>
        </is>
      </c>
    </row>
    <row r="292" ht="28.5" customHeight="1" s="234">
      <c r="A292" s="289" t="n"/>
      <c r="B292" s="289" t="n"/>
      <c r="C292" s="289" t="n"/>
      <c r="D292" s="289" t="n"/>
      <c r="E292" s="289" t="n"/>
      <c r="F292" s="352" t="n"/>
      <c r="G292" s="352" t="n"/>
      <c r="H292" s="352" t="n"/>
      <c r="I292" s="289" t="n"/>
      <c r="J292" s="289" t="n"/>
      <c r="K292" s="289" t="n"/>
      <c r="L292" s="352" t="n"/>
      <c r="M292" s="289" t="n"/>
      <c r="N292" s="352" t="n">
        <v>-99</v>
      </c>
      <c r="O292" s="289" t="inlineStr">
        <is>
          <t>Current/Notice/Vacant Residents</t>
        </is>
      </c>
    </row>
    <row r="293">
      <c r="A293" s="289" t="n"/>
      <c r="B293" s="289" t="n"/>
      <c r="C293" s="289" t="n"/>
      <c r="D293" s="289" t="n"/>
      <c r="E293" s="289" t="n"/>
      <c r="F293" s="352" t="n"/>
      <c r="G293" s="352" t="n"/>
      <c r="H293" s="352" t="n"/>
      <c r="I293" s="289" t="n"/>
      <c r="J293" s="289" t="n"/>
      <c r="K293" s="289" t="n"/>
      <c r="L293" s="352" t="n"/>
      <c r="M293" s="289" t="n"/>
      <c r="N293" s="352" t="n">
        <v>1893</v>
      </c>
      <c r="O293" s="289" t="inlineStr">
        <is>
          <t>Current/Notice/Vacant Residents</t>
        </is>
      </c>
    </row>
    <row r="294" ht="28.5" customHeight="1" s="234">
      <c r="A294" s="289" t="n"/>
      <c r="B294" s="289" t="n"/>
      <c r="C294" s="289" t="n"/>
      <c r="D294" s="289" t="n"/>
      <c r="E294" s="289" t="n"/>
      <c r="F294" s="352" t="n"/>
      <c r="G294" s="352" t="n"/>
      <c r="H294" s="352" t="n"/>
      <c r="I294" s="289" t="n"/>
      <c r="J294" s="289" t="n"/>
      <c r="K294" s="289" t="n"/>
      <c r="L294" s="352" t="n"/>
      <c r="M294" s="289" t="n"/>
      <c r="N294" s="352" t="n">
        <v>-36</v>
      </c>
      <c r="O294" s="289" t="inlineStr">
        <is>
          <t>Current/Notice/Vacant Residents</t>
        </is>
      </c>
    </row>
    <row r="295" ht="28.5" customHeight="1" s="234">
      <c r="A295" s="289" t="n"/>
      <c r="B295" s="289" t="n"/>
      <c r="C295" s="289" t="n"/>
      <c r="D295" s="289" t="n"/>
      <c r="E295" s="289" t="n"/>
      <c r="F295" s="352" t="n"/>
      <c r="G295" s="352" t="n"/>
      <c r="H295" s="352" t="n"/>
      <c r="I295" s="289" t="n"/>
      <c r="J295" s="289" t="n"/>
      <c r="K295" s="289" t="n"/>
      <c r="L295" s="352" t="n"/>
      <c r="M295" s="289" t="n"/>
      <c r="N295" s="352" t="n">
        <v>-177</v>
      </c>
      <c r="O295" s="289" t="inlineStr">
        <is>
          <t>Current/Notice/Vacant Residents</t>
        </is>
      </c>
    </row>
    <row r="296" ht="28.5" customHeight="1" s="234">
      <c r="A296" s="289" t="n"/>
      <c r="B296" s="289" t="n"/>
      <c r="C296" s="289" t="n"/>
      <c r="D296" s="289" t="n"/>
      <c r="E296" s="289" t="n"/>
      <c r="F296" s="352" t="n"/>
      <c r="G296" s="352" t="n"/>
      <c r="H296" s="352" t="n"/>
      <c r="I296" s="289" t="n"/>
      <c r="J296" s="289" t="n"/>
      <c r="K296" s="289" t="n"/>
      <c r="L296" s="352" t="n"/>
      <c r="M296" s="289" t="n"/>
      <c r="N296" s="352" t="n">
        <v>32</v>
      </c>
      <c r="O296" s="289" t="inlineStr">
        <is>
          <t>Current/Notice/Vacant Residents</t>
        </is>
      </c>
    </row>
    <row r="297" ht="28.5" customHeight="1" s="234">
      <c r="A297" s="289" t="n"/>
      <c r="B297" s="289" t="n"/>
      <c r="C297" s="289" t="n"/>
      <c r="D297" s="289" t="n"/>
      <c r="E297" s="289" t="n"/>
      <c r="F297" s="352" t="n"/>
      <c r="G297" s="352" t="n"/>
      <c r="H297" s="352" t="n"/>
      <c r="I297" s="289" t="n"/>
      <c r="J297" s="289" t="n"/>
      <c r="K297" s="289" t="n"/>
      <c r="L297" s="352" t="n"/>
      <c r="M297" s="289" t="n"/>
      <c r="N297" s="352" t="n">
        <v>61</v>
      </c>
      <c r="O297" s="289" t="inlineStr">
        <is>
          <t>Current/Notice/Vacant Residents</t>
        </is>
      </c>
    </row>
    <row r="298" ht="28.5" customHeight="1" s="234">
      <c r="A298" s="289" t="n"/>
      <c r="B298" s="289" t="n"/>
      <c r="C298" s="289" t="n"/>
      <c r="D298" s="289" t="n"/>
      <c r="E298" s="289" t="n"/>
      <c r="F298" s="352" t="n"/>
      <c r="G298" s="352" t="n"/>
      <c r="H298" s="352" t="n"/>
      <c r="I298" s="289" t="n"/>
      <c r="J298" s="289" t="n"/>
      <c r="K298" s="289" t="n"/>
      <c r="L298" s="352" t="n"/>
      <c r="M298" s="289" t="n"/>
      <c r="N298" s="352" t="n">
        <v>17</v>
      </c>
      <c r="O298" s="289" t="inlineStr">
        <is>
          <t>Current/Notice/Vacant Residents</t>
        </is>
      </c>
    </row>
    <row r="299" ht="28.5" customHeight="1" s="234">
      <c r="A299" s="289" t="n"/>
      <c r="B299" s="289" t="n"/>
      <c r="C299" s="289" t="n"/>
      <c r="D299" s="289" t="n"/>
      <c r="E299" s="289" t="n"/>
      <c r="F299" s="352" t="n"/>
      <c r="G299" s="352" t="n"/>
      <c r="H299" s="352" t="n"/>
      <c r="I299" s="289" t="n"/>
      <c r="J299" s="289" t="n"/>
      <c r="K299" s="289" t="n"/>
      <c r="L299" s="352" t="n"/>
      <c r="M299" s="289" t="n"/>
      <c r="N299" s="352" t="n">
        <v>-2</v>
      </c>
      <c r="O299" s="289" t="inlineStr">
        <is>
          <t>Current/Notice/Vacant Residents</t>
        </is>
      </c>
    </row>
    <row r="300" ht="28.5" customHeight="1" s="234">
      <c r="A300" s="289" t="n"/>
      <c r="B300" s="289" t="n"/>
      <c r="C300" s="289" t="n"/>
      <c r="D300" s="289" t="n"/>
      <c r="E300" s="289" t="n"/>
      <c r="F300" s="352" t="n"/>
      <c r="G300" s="352" t="n"/>
      <c r="H300" s="352" t="n"/>
      <c r="I300" s="289" t="n"/>
      <c r="J300" s="289" t="n"/>
      <c r="K300" s="289" t="n"/>
      <c r="L300" s="352" t="n"/>
      <c r="M300" s="289" t="n"/>
      <c r="N300" s="352" t="n">
        <v>100</v>
      </c>
      <c r="O300" s="289" t="inlineStr">
        <is>
          <t>Current/Notice/Vacant Residents</t>
        </is>
      </c>
    </row>
    <row r="301" ht="28.5" customHeight="1" s="234">
      <c r="A301" s="289" t="n"/>
      <c r="B301" s="289" t="n"/>
      <c r="C301" s="289" t="n"/>
      <c r="D301" s="289" t="n"/>
      <c r="E301" s="289" t="n"/>
      <c r="F301" s="352" t="n"/>
      <c r="G301" s="352" t="n"/>
      <c r="H301" s="352" t="n"/>
      <c r="I301" s="289" t="n"/>
      <c r="J301" s="289" t="n"/>
      <c r="K301" s="289" t="n"/>
      <c r="L301" s="352" t="n"/>
      <c r="M301" s="289" t="n"/>
      <c r="N301" s="352" t="n">
        <v>19</v>
      </c>
      <c r="O301" s="289" t="inlineStr">
        <is>
          <t>Current/Notice/Vacant Residents</t>
        </is>
      </c>
    </row>
    <row r="302" ht="28.5" customHeight="1" s="234">
      <c r="A302" s="289" t="n"/>
      <c r="B302" s="289" t="n"/>
      <c r="C302" s="289" t="n"/>
      <c r="D302" s="289" t="n"/>
      <c r="E302" s="289" t="n"/>
      <c r="F302" s="352" t="n"/>
      <c r="G302" s="352" t="n"/>
      <c r="H302" s="352" t="n"/>
      <c r="I302" s="289" t="n"/>
      <c r="J302" s="289" t="n"/>
      <c r="K302" s="289" t="n"/>
      <c r="L302" s="352" t="n"/>
      <c r="M302" s="289" t="n"/>
      <c r="N302" s="352" t="n">
        <v>278</v>
      </c>
      <c r="O302" s="289" t="inlineStr">
        <is>
          <t>Current/Notice/Vacant Residents</t>
        </is>
      </c>
    </row>
    <row r="303" ht="28.5" customHeight="1" s="234">
      <c r="A303" s="289" t="n"/>
      <c r="B303" s="289" t="n"/>
      <c r="C303" s="289" t="n"/>
      <c r="D303" s="289" t="n"/>
      <c r="E303" s="289" t="n"/>
      <c r="F303" s="352" t="n"/>
      <c r="G303" s="352" t="n"/>
      <c r="H303" s="352" t="n"/>
      <c r="I303" s="289" t="n"/>
      <c r="J303" s="289" t="n"/>
      <c r="K303" s="289" t="n"/>
      <c r="L303" s="352" t="n"/>
      <c r="M303" s="289" t="n"/>
      <c r="N303" s="352" t="n">
        <v>125</v>
      </c>
      <c r="O303" s="289" t="inlineStr">
        <is>
          <t>Current/Notice/Vacant Residents</t>
        </is>
      </c>
    </row>
    <row r="304" ht="28.5" customHeight="1" s="234">
      <c r="A304" s="289" t="n"/>
      <c r="B304" s="289" t="n"/>
      <c r="C304" s="289" t="n"/>
      <c r="D304" s="289" t="n"/>
      <c r="E304" s="289" t="n"/>
      <c r="F304" s="352" t="n"/>
      <c r="G304" s="352" t="n"/>
      <c r="H304" s="352" t="n"/>
      <c r="I304" s="289" t="n"/>
      <c r="J304" s="289" t="n"/>
      <c r="K304" s="289" t="n"/>
      <c r="L304" s="352" t="n"/>
      <c r="M304" s="289" t="n"/>
      <c r="N304" s="352" t="n">
        <v>1410</v>
      </c>
      <c r="O304" s="289" t="inlineStr">
        <is>
          <t>Current/Notice/Vacant Residents</t>
        </is>
      </c>
    </row>
    <row r="305" ht="28.5" customHeight="1" s="234">
      <c r="A305" s="289" t="n"/>
      <c r="B305" s="289" t="n"/>
      <c r="C305" s="289" t="n"/>
      <c r="D305" s="289" t="n"/>
      <c r="E305" s="289" t="n"/>
      <c r="F305" s="352" t="n"/>
      <c r="G305" s="352" t="n"/>
      <c r="H305" s="352" t="n"/>
      <c r="I305" s="289" t="n"/>
      <c r="J305" s="289" t="n"/>
      <c r="K305" s="289" t="n"/>
      <c r="L305" s="352" t="n"/>
      <c r="M305" s="289" t="n"/>
      <c r="N305" s="352" t="n">
        <v>0</v>
      </c>
      <c r="O305" s="289" t="inlineStr">
        <is>
          <t>Current/Notice/Vacant Residents</t>
        </is>
      </c>
    </row>
    <row r="306" ht="28.5" customHeight="1" s="234">
      <c r="A306" s="289" t="n"/>
      <c r="B306" s="289" t="n"/>
      <c r="C306" s="289" t="n"/>
      <c r="D306" s="289" t="n"/>
      <c r="E306" s="289" t="n"/>
      <c r="F306" s="352" t="n"/>
      <c r="G306" s="352" t="n"/>
      <c r="H306" s="352" t="n"/>
      <c r="I306" s="289" t="n"/>
      <c r="J306" s="289" t="n"/>
      <c r="K306" s="289" t="n"/>
      <c r="L306" s="352" t="n"/>
      <c r="M306" s="289" t="n"/>
      <c r="N306" s="352" t="n">
        <v>0</v>
      </c>
      <c r="O306" s="289" t="inlineStr">
        <is>
          <t>Current/Notice/Vacant Residents</t>
        </is>
      </c>
    </row>
    <row r="307" ht="28.5" customHeight="1" s="234">
      <c r="A307" s="289" t="n"/>
      <c r="B307" s="289" t="n"/>
      <c r="C307" s="289" t="n"/>
      <c r="D307" s="289" t="n"/>
      <c r="E307" s="289" t="n"/>
      <c r="F307" s="352" t="n"/>
      <c r="G307" s="352" t="n"/>
      <c r="H307" s="352" t="n"/>
      <c r="I307" s="289" t="n"/>
      <c r="J307" s="289" t="n"/>
      <c r="K307" s="289" t="n"/>
      <c r="L307" s="352" t="n"/>
      <c r="M307" s="289" t="n"/>
      <c r="N307" s="352" t="n">
        <v>21</v>
      </c>
      <c r="O307" s="289" t="inlineStr">
        <is>
          <t>Current/Notice/Vacant Residents</t>
        </is>
      </c>
    </row>
    <row r="308" ht="28.5" customHeight="1" s="234">
      <c r="A308" s="289" t="n"/>
      <c r="B308" s="289" t="n"/>
      <c r="C308" s="289" t="n"/>
      <c r="D308" s="289" t="n"/>
      <c r="E308" s="289" t="n"/>
      <c r="F308" s="352" t="n"/>
      <c r="G308" s="352" t="n"/>
      <c r="H308" s="352" t="n"/>
      <c r="I308" s="289" t="n"/>
      <c r="J308" s="289" t="n"/>
      <c r="K308" s="289" t="n"/>
      <c r="L308" s="352" t="n"/>
      <c r="M308" s="289" t="n"/>
      <c r="N308" s="352" t="n">
        <v>-23</v>
      </c>
      <c r="O308" s="289" t="inlineStr">
        <is>
          <t>Current/Notice/Vacant Residents</t>
        </is>
      </c>
    </row>
    <row r="309" ht="28.5" customHeight="1" s="234">
      <c r="A309" s="289" t="n"/>
      <c r="B309" s="289" t="n"/>
      <c r="C309" s="289" t="n"/>
      <c r="D309" s="289" t="n"/>
      <c r="E309" s="289" t="n"/>
      <c r="F309" s="352" t="n"/>
      <c r="G309" s="352" t="n"/>
      <c r="H309" s="352" t="n"/>
      <c r="I309" s="289" t="n"/>
      <c r="J309" s="289" t="n"/>
      <c r="K309" s="289" t="n"/>
      <c r="L309" s="352" t="n"/>
      <c r="M309" s="289" t="n"/>
      <c r="N309" s="352" t="n">
        <v>146</v>
      </c>
      <c r="O309" s="289" t="inlineStr">
        <is>
          <t>Current/Notice/Vacant Residents</t>
        </is>
      </c>
    </row>
    <row r="310" ht="28.5" customHeight="1" s="234">
      <c r="A310" s="289" t="n"/>
      <c r="B310" s="289" t="n"/>
      <c r="C310" s="289" t="n"/>
      <c r="D310" s="289" t="n"/>
      <c r="E310" s="289" t="n"/>
      <c r="F310" s="352" t="n"/>
      <c r="G310" s="352" t="n"/>
      <c r="H310" s="352" t="n"/>
      <c r="I310" s="289" t="n"/>
      <c r="J310" s="289" t="n"/>
      <c r="K310" s="289" t="n"/>
      <c r="L310" s="352" t="n"/>
      <c r="M310" s="289" t="n"/>
      <c r="N310" s="352" t="n">
        <v>16</v>
      </c>
      <c r="O310" s="289" t="inlineStr">
        <is>
          <t>Current/Notice/Vacant Residents</t>
        </is>
      </c>
    </row>
    <row r="311" ht="28.5" customHeight="1" s="234">
      <c r="A311" s="289" t="n"/>
      <c r="B311" s="289" t="n"/>
      <c r="C311" s="289" t="n"/>
      <c r="D311" s="289" t="n"/>
      <c r="E311" s="289" t="n"/>
      <c r="F311" s="352" t="n"/>
      <c r="G311" s="352" t="n"/>
      <c r="H311" s="352" t="n"/>
      <c r="I311" s="289" t="n"/>
      <c r="J311" s="289" t="n"/>
      <c r="K311" s="289" t="n"/>
      <c r="L311" s="352" t="n"/>
      <c r="M311" s="289" t="n"/>
      <c r="N311" s="352" t="n">
        <v>-166</v>
      </c>
      <c r="O311" s="289" t="inlineStr">
        <is>
          <t>Current/Notice/Vacant Residents</t>
        </is>
      </c>
    </row>
    <row r="312" ht="28.5" customHeight="1" s="234">
      <c r="A312" s="289" t="n"/>
      <c r="B312" s="289" t="n"/>
      <c r="C312" s="289" t="n"/>
      <c r="D312" s="289" t="n"/>
      <c r="E312" s="289" t="n"/>
      <c r="F312" s="352" t="n"/>
      <c r="G312" s="352" t="n"/>
      <c r="H312" s="352" t="n"/>
      <c r="I312" s="289" t="n"/>
      <c r="J312" s="289" t="n"/>
      <c r="K312" s="289" t="n"/>
      <c r="L312" s="352" t="n"/>
      <c r="M312" s="289" t="n"/>
      <c r="N312" s="352" t="n">
        <v>116</v>
      </c>
      <c r="O312" s="289" t="inlineStr">
        <is>
          <t>Current/Notice/Vacant Residents</t>
        </is>
      </c>
    </row>
    <row r="313" ht="28.5" customHeight="1" s="234">
      <c r="A313" s="289" t="n"/>
      <c r="B313" s="289" t="n"/>
      <c r="C313" s="289" t="n"/>
      <c r="D313" s="289" t="n"/>
      <c r="E313" s="289" t="n"/>
      <c r="F313" s="352" t="n"/>
      <c r="G313" s="352" t="n"/>
      <c r="H313" s="352" t="n"/>
      <c r="I313" s="289" t="n"/>
      <c r="J313" s="289" t="n"/>
      <c r="K313" s="289" t="n"/>
      <c r="L313" s="352" t="n"/>
      <c r="M313" s="289" t="n"/>
      <c r="N313" s="352" t="n">
        <v>-215</v>
      </c>
      <c r="O313" s="289" t="inlineStr">
        <is>
          <t>Current/Notice/Vacant Residents</t>
        </is>
      </c>
    </row>
    <row r="314" ht="28.5" customHeight="1" s="234">
      <c r="A314" s="289" t="n"/>
      <c r="B314" s="289" t="n"/>
      <c r="C314" s="289" t="n"/>
      <c r="D314" s="289" t="n"/>
      <c r="E314" s="289" t="n"/>
      <c r="F314" s="352" t="n"/>
      <c r="G314" s="352" t="n"/>
      <c r="H314" s="352" t="n"/>
      <c r="I314" s="289" t="n"/>
      <c r="J314" s="289" t="n"/>
      <c r="K314" s="289" t="n"/>
      <c r="L314" s="352" t="n"/>
      <c r="M314" s="289" t="n"/>
      <c r="N314" s="352" t="n">
        <v>-105</v>
      </c>
      <c r="O314" s="289" t="inlineStr">
        <is>
          <t>Current/Notice/Vacant Residents</t>
        </is>
      </c>
    </row>
    <row r="315" ht="28.5" customHeight="1" s="234">
      <c r="A315" s="289" t="n"/>
      <c r="B315" s="289" t="n"/>
      <c r="C315" s="289" t="n"/>
      <c r="D315" s="289" t="n"/>
      <c r="E315" s="289" t="n"/>
      <c r="F315" s="352" t="n"/>
      <c r="G315" s="352" t="n"/>
      <c r="H315" s="352" t="n"/>
      <c r="I315" s="289" t="n"/>
      <c r="J315" s="289" t="n"/>
      <c r="K315" s="289" t="n"/>
      <c r="L315" s="352" t="n"/>
      <c r="M315" s="289" t="n"/>
      <c r="N315" s="352" t="n">
        <v>-172</v>
      </c>
      <c r="O315" s="289" t="inlineStr">
        <is>
          <t>Current/Notice/Vacant Residents</t>
        </is>
      </c>
    </row>
    <row r="316" ht="28.5" customHeight="1" s="234">
      <c r="A316" s="289" t="n"/>
      <c r="B316" s="289" t="n"/>
      <c r="C316" s="289" t="n"/>
      <c r="D316" s="289" t="n"/>
      <c r="E316" s="289" t="n"/>
      <c r="F316" s="352" t="n"/>
      <c r="G316" s="352" t="n"/>
      <c r="H316" s="352" t="n"/>
      <c r="I316" s="289" t="n"/>
      <c r="J316" s="289" t="n"/>
      <c r="K316" s="289" t="n"/>
      <c r="L316" s="352" t="n"/>
      <c r="M316" s="289" t="n"/>
      <c r="N316" s="352" t="n">
        <v>4</v>
      </c>
      <c r="O316" s="289" t="inlineStr">
        <is>
          <t>Current/Notice/Vacant Residents</t>
        </is>
      </c>
    </row>
    <row r="317" ht="28.5" customHeight="1" s="234">
      <c r="A317" s="289" t="n"/>
      <c r="B317" s="289" t="n"/>
      <c r="C317" s="289" t="n"/>
      <c r="D317" s="289" t="n"/>
      <c r="E317" s="289" t="n"/>
      <c r="F317" s="352" t="n"/>
      <c r="G317" s="352" t="n"/>
      <c r="H317" s="352" t="n"/>
      <c r="I317" s="289" t="n"/>
      <c r="J317" s="289" t="n"/>
      <c r="K317" s="289" t="n"/>
      <c r="L317" s="352" t="n"/>
      <c r="M317" s="289" t="n"/>
      <c r="N317" s="352" t="n">
        <v>-80</v>
      </c>
      <c r="O317" s="289" t="inlineStr">
        <is>
          <t>Current/Notice/Vacant Residents</t>
        </is>
      </c>
    </row>
    <row r="318">
      <c r="A318" s="289" t="n"/>
      <c r="B318" s="289" t="n"/>
      <c r="C318" s="289" t="n"/>
      <c r="D318" s="289" t="n"/>
      <c r="E318" s="289" t="n"/>
      <c r="F318" s="352" t="n"/>
      <c r="G318" s="352" t="n"/>
      <c r="H318" s="352" t="n"/>
      <c r="I318" s="289" t="n"/>
      <c r="J318" s="289" t="n"/>
      <c r="K318" s="289" t="n"/>
      <c r="L318" s="352" t="n"/>
      <c r="M318" s="289" t="n"/>
      <c r="N318" s="352" t="n">
        <v>1675</v>
      </c>
      <c r="O318" s="289" t="inlineStr">
        <is>
          <t>Current/Notice/Vacant Residents</t>
        </is>
      </c>
    </row>
    <row r="319" ht="28.5" customHeight="1" s="234">
      <c r="A319" s="289" t="n"/>
      <c r="B319" s="289" t="n"/>
      <c r="C319" s="289" t="n"/>
      <c r="D319" s="289" t="n"/>
      <c r="E319" s="289" t="n"/>
      <c r="F319" s="352" t="n"/>
      <c r="G319" s="352" t="n"/>
      <c r="H319" s="352" t="n"/>
      <c r="I319" s="289" t="n"/>
      <c r="J319" s="289" t="n"/>
      <c r="K319" s="289" t="n"/>
      <c r="L319" s="352" t="n"/>
      <c r="M319" s="289" t="n"/>
      <c r="N319" s="352" t="n">
        <v>2152</v>
      </c>
      <c r="O319" s="289" t="inlineStr">
        <is>
          <t>Current/Notice/Vacant Residents</t>
        </is>
      </c>
    </row>
    <row r="320" ht="28.5" customHeight="1" s="234">
      <c r="A320" s="289" t="n"/>
      <c r="B320" s="289" t="n"/>
      <c r="C320" s="289" t="n"/>
      <c r="D320" s="289" t="n"/>
      <c r="E320" s="289" t="n"/>
      <c r="F320" s="352" t="n"/>
      <c r="G320" s="352" t="n"/>
      <c r="H320" s="352" t="n"/>
      <c r="I320" s="289" t="n"/>
      <c r="J320" s="289" t="n"/>
      <c r="K320" s="289" t="n"/>
      <c r="L320" s="352" t="n"/>
      <c r="M320" s="289" t="n"/>
      <c r="N320" s="352" t="n">
        <v>215</v>
      </c>
      <c r="O320" s="289" t="inlineStr">
        <is>
          <t>Current/Notice/Vacant Residents</t>
        </is>
      </c>
    </row>
    <row r="321" ht="28.5" customHeight="1" s="234">
      <c r="A321" s="289" t="n"/>
      <c r="B321" s="289" t="n"/>
      <c r="C321" s="289" t="n"/>
      <c r="D321" s="289" t="n"/>
      <c r="E321" s="289" t="n"/>
      <c r="F321" s="352" t="n"/>
      <c r="G321" s="352" t="n"/>
      <c r="H321" s="352" t="n"/>
      <c r="I321" s="289" t="n"/>
      <c r="J321" s="289" t="n"/>
      <c r="K321" s="289" t="n"/>
      <c r="L321" s="352" t="n"/>
      <c r="M321" s="289" t="n"/>
      <c r="N321" s="352" t="n">
        <v>96</v>
      </c>
      <c r="O321" s="289" t="inlineStr">
        <is>
          <t>Current/Notice/Vacant Residents</t>
        </is>
      </c>
    </row>
    <row r="322" ht="28.5" customHeight="1" s="234">
      <c r="A322" s="289" t="n"/>
      <c r="B322" s="289" t="n"/>
      <c r="C322" s="289" t="n"/>
      <c r="D322" s="289" t="n"/>
      <c r="E322" s="289" t="n"/>
      <c r="F322" s="352" t="n"/>
      <c r="G322" s="352" t="n"/>
      <c r="H322" s="352" t="n"/>
      <c r="I322" s="289" t="n"/>
      <c r="J322" s="289" t="n"/>
      <c r="K322" s="289" t="n"/>
      <c r="L322" s="352" t="n"/>
      <c r="M322" s="289" t="n"/>
      <c r="N322" s="352" t="n">
        <v>128</v>
      </c>
      <c r="O322" s="289" t="inlineStr">
        <is>
          <t>Current/Notice/Vacant Residents</t>
        </is>
      </c>
    </row>
    <row r="323" ht="28.5" customHeight="1" s="234">
      <c r="A323" s="289" t="n"/>
      <c r="B323" s="289" t="n"/>
      <c r="C323" s="289" t="n"/>
      <c r="D323" s="289" t="n"/>
      <c r="E323" s="289" t="n"/>
      <c r="F323" s="352" t="n"/>
      <c r="G323" s="352" t="n"/>
      <c r="H323" s="352" t="n"/>
      <c r="I323" s="289" t="n"/>
      <c r="J323" s="289" t="n"/>
      <c r="K323" s="289" t="n"/>
      <c r="L323" s="352" t="n"/>
      <c r="M323" s="289" t="n"/>
      <c r="N323" s="352" t="n">
        <v>32</v>
      </c>
      <c r="O323" s="289" t="inlineStr">
        <is>
          <t>Current/Notice/Vacant Residents</t>
        </is>
      </c>
    </row>
    <row r="324" ht="28.5" customHeight="1" s="234">
      <c r="A324" s="289" t="n"/>
      <c r="B324" s="289" t="n"/>
      <c r="C324" s="289" t="n"/>
      <c r="D324" s="289" t="n"/>
      <c r="E324" s="289" t="n"/>
      <c r="F324" s="352" t="n"/>
      <c r="G324" s="352" t="n"/>
      <c r="H324" s="352" t="n"/>
      <c r="I324" s="289" t="n"/>
      <c r="J324" s="289" t="n"/>
      <c r="K324" s="289" t="n"/>
      <c r="L324" s="352" t="n"/>
      <c r="M324" s="289" t="n"/>
      <c r="N324" s="352" t="n">
        <v>-4</v>
      </c>
      <c r="O324" s="289" t="inlineStr">
        <is>
          <t>Current/Notice/Vacant Residents</t>
        </is>
      </c>
    </row>
    <row r="325" ht="28.5" customHeight="1" s="234">
      <c r="A325" s="289" t="n"/>
      <c r="B325" s="289" t="n"/>
      <c r="C325" s="289" t="n"/>
      <c r="D325" s="289" t="n"/>
      <c r="E325" s="289" t="n"/>
      <c r="F325" s="352" t="n"/>
      <c r="G325" s="352" t="n"/>
      <c r="H325" s="352" t="n"/>
      <c r="I325" s="289" t="n"/>
      <c r="J325" s="289" t="n"/>
      <c r="K325" s="289" t="n"/>
      <c r="L325" s="352" t="n"/>
      <c r="M325" s="289" t="n"/>
      <c r="N325" s="352" t="n">
        <v>-194</v>
      </c>
      <c r="O325" s="289" t="inlineStr">
        <is>
          <t>Current/Notice/Vacant Residents</t>
        </is>
      </c>
    </row>
    <row r="326" ht="28.5" customHeight="1" s="234">
      <c r="A326" s="289" t="n"/>
      <c r="B326" s="289" t="n"/>
      <c r="C326" s="289" t="n"/>
      <c r="D326" s="289" t="n"/>
      <c r="E326" s="289" t="n"/>
      <c r="F326" s="352" t="n"/>
      <c r="G326" s="352" t="n"/>
      <c r="H326" s="352" t="n"/>
      <c r="I326" s="289" t="n"/>
      <c r="J326" s="289" t="n"/>
      <c r="K326" s="289" t="n"/>
      <c r="L326" s="352" t="n"/>
      <c r="M326" s="289" t="n"/>
      <c r="N326" s="352" t="n">
        <v>1</v>
      </c>
      <c r="O326" s="289" t="inlineStr">
        <is>
          <t>Current/Notice/Vacant Residents</t>
        </is>
      </c>
    </row>
    <row r="327" ht="28.5" customHeight="1" s="234">
      <c r="A327" s="289" t="n"/>
      <c r="B327" s="289" t="n"/>
      <c r="C327" s="289" t="n"/>
      <c r="D327" s="289" t="n"/>
      <c r="E327" s="289" t="n"/>
      <c r="F327" s="352" t="n"/>
      <c r="G327" s="352" t="n"/>
      <c r="H327" s="352" t="n"/>
      <c r="I327" s="289" t="n"/>
      <c r="J327" s="289" t="n"/>
      <c r="K327" s="289" t="n"/>
      <c r="L327" s="352" t="n"/>
      <c r="M327" s="289" t="n"/>
      <c r="N327" s="352" t="n">
        <v>-112</v>
      </c>
      <c r="O327" s="289" t="inlineStr">
        <is>
          <t>Current/Notice/Vacant Residents</t>
        </is>
      </c>
    </row>
    <row r="328" ht="28.5" customHeight="1" s="234">
      <c r="A328" s="289" t="n"/>
      <c r="B328" s="289" t="n"/>
      <c r="C328" s="289" t="n"/>
      <c r="D328" s="289" t="n"/>
      <c r="E328" s="289" t="n"/>
      <c r="F328" s="352" t="n"/>
      <c r="G328" s="352" t="n"/>
      <c r="H328" s="352" t="n"/>
      <c r="I328" s="289" t="n"/>
      <c r="J328" s="289" t="n"/>
      <c r="K328" s="289" t="n"/>
      <c r="L328" s="352" t="n"/>
      <c r="M328" s="289" t="n"/>
      <c r="N328" s="352" t="n">
        <v>130</v>
      </c>
      <c r="O328" s="289" t="inlineStr">
        <is>
          <t>Current/Notice/Vacant Residents</t>
        </is>
      </c>
    </row>
    <row r="329" ht="28.5" customHeight="1" s="234">
      <c r="A329" s="289" t="n"/>
      <c r="B329" s="289" t="n"/>
      <c r="C329" s="289" t="n"/>
      <c r="D329" s="289" t="n"/>
      <c r="E329" s="289" t="n"/>
      <c r="F329" s="352" t="n"/>
      <c r="G329" s="352" t="n"/>
      <c r="H329" s="352" t="n"/>
      <c r="I329" s="289" t="n"/>
      <c r="J329" s="289" t="n"/>
      <c r="K329" s="289" t="n"/>
      <c r="L329" s="352" t="n"/>
      <c r="M329" s="289" t="n"/>
      <c r="N329" s="352" t="n">
        <v>-6</v>
      </c>
      <c r="O329" s="289" t="inlineStr">
        <is>
          <t>Current/Notice/Vacant Residents</t>
        </is>
      </c>
    </row>
    <row r="330" ht="28.5" customHeight="1" s="234">
      <c r="A330" s="289" t="n"/>
      <c r="B330" s="289" t="n"/>
      <c r="C330" s="289" t="n"/>
      <c r="D330" s="289" t="n"/>
      <c r="E330" s="289" t="n"/>
      <c r="F330" s="352" t="n"/>
      <c r="G330" s="352" t="n"/>
      <c r="H330" s="352" t="n"/>
      <c r="I330" s="289" t="n"/>
      <c r="J330" s="289" t="n"/>
      <c r="K330" s="289" t="n"/>
      <c r="L330" s="352" t="n"/>
      <c r="M330" s="289" t="n"/>
      <c r="N330" s="352" t="n">
        <v>65</v>
      </c>
      <c r="O330" s="289" t="inlineStr">
        <is>
          <t>Current/Notice/Vacant Residents</t>
        </is>
      </c>
    </row>
    <row r="331" ht="28.5" customHeight="1" s="234">
      <c r="A331" s="289" t="n"/>
      <c r="B331" s="289" t="n"/>
      <c r="C331" s="289" t="n"/>
      <c r="D331" s="289" t="n"/>
      <c r="E331" s="289" t="n"/>
      <c r="F331" s="352" t="n"/>
      <c r="G331" s="352" t="n"/>
      <c r="H331" s="352" t="n"/>
      <c r="I331" s="289" t="n"/>
      <c r="J331" s="289" t="n"/>
      <c r="K331" s="289" t="n"/>
      <c r="L331" s="352" t="n"/>
      <c r="M331" s="289" t="n"/>
      <c r="N331" s="352" t="n">
        <v>198</v>
      </c>
      <c r="O331" s="289" t="inlineStr">
        <is>
          <t>Current/Notice/Vacant Residents</t>
        </is>
      </c>
    </row>
    <row r="332" ht="28.5" customHeight="1" s="234">
      <c r="A332" s="289" t="n"/>
      <c r="B332" s="289" t="n"/>
      <c r="C332" s="289" t="n"/>
      <c r="D332" s="289" t="n"/>
      <c r="E332" s="289" t="n"/>
      <c r="F332" s="352" t="n"/>
      <c r="G332" s="352" t="n"/>
      <c r="H332" s="352" t="n"/>
      <c r="I332" s="289" t="n"/>
      <c r="J332" s="289" t="n"/>
      <c r="K332" s="289" t="n"/>
      <c r="L332" s="352" t="n"/>
      <c r="M332" s="289" t="n"/>
      <c r="N332" s="352" t="n">
        <v>242</v>
      </c>
      <c r="O332" s="289" t="inlineStr">
        <is>
          <t>Current/Notice/Vacant Residents</t>
        </is>
      </c>
    </row>
    <row r="333" ht="28.5" customHeight="1" s="234">
      <c r="A333" s="289" t="n"/>
      <c r="B333" s="289" t="n"/>
      <c r="C333" s="289" t="n"/>
      <c r="D333" s="289" t="n"/>
      <c r="E333" s="289" t="n"/>
      <c r="F333" s="352" t="n"/>
      <c r="G333" s="352" t="n"/>
      <c r="H333" s="352" t="n"/>
      <c r="I333" s="289" t="n"/>
      <c r="J333" s="289" t="n"/>
      <c r="K333" s="289" t="n"/>
      <c r="L333" s="352" t="n"/>
      <c r="M333" s="289" t="n"/>
      <c r="N333" s="352" t="n">
        <v>126</v>
      </c>
      <c r="O333" s="289" t="inlineStr">
        <is>
          <t>Current/Notice/Vacant Residents</t>
        </is>
      </c>
    </row>
    <row r="334" ht="28.5" customHeight="1" s="234">
      <c r="A334" s="289" t="n"/>
      <c r="B334" s="289" t="n"/>
      <c r="C334" s="289" t="n"/>
      <c r="D334" s="289" t="n"/>
      <c r="E334" s="289" t="n"/>
      <c r="F334" s="352" t="n"/>
      <c r="G334" s="352" t="n"/>
      <c r="H334" s="352" t="n"/>
      <c r="I334" s="289" t="n"/>
      <c r="J334" s="289" t="n"/>
      <c r="K334" s="289" t="n"/>
      <c r="L334" s="352" t="n"/>
      <c r="M334" s="289" t="n"/>
      <c r="N334" s="352" t="n">
        <v>62</v>
      </c>
      <c r="O334" s="289" t="inlineStr">
        <is>
          <t>Current/Notice/Vacant Residents</t>
        </is>
      </c>
    </row>
    <row r="335" ht="28.5" customHeight="1" s="234">
      <c r="A335" s="289" t="n"/>
      <c r="B335" s="289" t="n"/>
      <c r="C335" s="289" t="n"/>
      <c r="D335" s="289" t="n"/>
      <c r="E335" s="289" t="n"/>
      <c r="F335" s="352" t="n"/>
      <c r="G335" s="352" t="n"/>
      <c r="H335" s="352" t="n"/>
      <c r="I335" s="289" t="n"/>
      <c r="J335" s="289" t="n"/>
      <c r="K335" s="289" t="n"/>
      <c r="L335" s="352" t="n"/>
      <c r="M335" s="289" t="n"/>
      <c r="N335" s="352" t="n">
        <v>-190</v>
      </c>
      <c r="O335" s="289" t="inlineStr">
        <is>
          <t>Current/Notice/Vacant Residents</t>
        </is>
      </c>
    </row>
    <row r="336" ht="28.5" customHeight="1" s="234">
      <c r="A336" s="289" t="n"/>
      <c r="B336" s="289" t="n"/>
      <c r="C336" s="289" t="n"/>
      <c r="D336" s="289" t="n"/>
      <c r="E336" s="289" t="n"/>
      <c r="F336" s="352" t="n"/>
      <c r="G336" s="352" t="n"/>
      <c r="H336" s="352" t="n"/>
      <c r="I336" s="289" t="n"/>
      <c r="J336" s="289" t="n"/>
      <c r="K336" s="289" t="n"/>
      <c r="L336" s="352" t="n"/>
      <c r="M336" s="289" t="n"/>
      <c r="N336" s="352" t="n">
        <v>-18</v>
      </c>
      <c r="O336" s="289" t="inlineStr">
        <is>
          <t>Current/Notice/Vacant Residents</t>
        </is>
      </c>
    </row>
    <row r="337" ht="28.5" customHeight="1" s="234">
      <c r="A337" s="289" t="n"/>
      <c r="B337" s="289" t="n"/>
      <c r="C337" s="289" t="n"/>
      <c r="D337" s="289" t="n"/>
      <c r="E337" s="289" t="n"/>
      <c r="F337" s="352" t="n"/>
      <c r="G337" s="352" t="n"/>
      <c r="H337" s="352" t="n"/>
      <c r="I337" s="289" t="n"/>
      <c r="J337" s="289" t="n"/>
      <c r="K337" s="289" t="n"/>
      <c r="L337" s="352" t="n"/>
      <c r="M337" s="289" t="n"/>
      <c r="N337" s="352" t="n">
        <v>96</v>
      </c>
      <c r="O337" s="289" t="inlineStr">
        <is>
          <t>Current/Notice/Vacant Residents</t>
        </is>
      </c>
    </row>
    <row r="338" ht="28.5" customHeight="1" s="234">
      <c r="A338" s="289" t="n"/>
      <c r="B338" s="289" t="n"/>
      <c r="C338" s="289" t="n"/>
      <c r="D338" s="289" t="n"/>
      <c r="E338" s="289" t="n"/>
      <c r="F338" s="352" t="n"/>
      <c r="G338" s="352" t="n"/>
      <c r="H338" s="352" t="n"/>
      <c r="I338" s="289" t="n"/>
      <c r="J338" s="289" t="n"/>
      <c r="K338" s="289" t="n"/>
      <c r="L338" s="352" t="n"/>
      <c r="M338" s="289" t="n"/>
      <c r="N338" s="352" t="n">
        <v>94</v>
      </c>
      <c r="O338" s="289" t="inlineStr">
        <is>
          <t>Current/Notice/Vacant Residents</t>
        </is>
      </c>
    </row>
    <row r="339" ht="28.5" customHeight="1" s="234">
      <c r="A339" s="289" t="n"/>
      <c r="B339" s="289" t="n"/>
      <c r="C339" s="289" t="n"/>
      <c r="D339" s="289" t="n"/>
      <c r="E339" s="289" t="n"/>
      <c r="F339" s="352" t="n"/>
      <c r="G339" s="352" t="n"/>
      <c r="H339" s="352" t="n"/>
      <c r="I339" s="289" t="n"/>
      <c r="J339" s="289" t="n"/>
      <c r="K339" s="289" t="n"/>
      <c r="L339" s="352" t="n"/>
      <c r="M339" s="289" t="n"/>
      <c r="N339" s="352" t="n">
        <v>-420</v>
      </c>
      <c r="O339" s="289" t="inlineStr">
        <is>
          <t>Current/Notice/Vacant Residents</t>
        </is>
      </c>
    </row>
    <row r="340" ht="28.5" customHeight="1" s="234">
      <c r="A340" s="289" t="n"/>
      <c r="B340" s="289" t="n"/>
      <c r="C340" s="289" t="n"/>
      <c r="D340" s="289" t="n"/>
      <c r="E340" s="289" t="n"/>
      <c r="F340" s="352" t="n"/>
      <c r="G340" s="352" t="n"/>
      <c r="H340" s="352" t="n"/>
      <c r="I340" s="289" t="n"/>
      <c r="J340" s="289" t="n"/>
      <c r="K340" s="289" t="n"/>
      <c r="L340" s="352" t="n"/>
      <c r="M340" s="289" t="n"/>
      <c r="N340" s="352" t="n">
        <v>165</v>
      </c>
      <c r="O340" s="289" t="inlineStr">
        <is>
          <t>Current/Notice/Vacant Residents</t>
        </is>
      </c>
    </row>
    <row r="341" ht="28.5" customHeight="1" s="234">
      <c r="A341" s="289" t="n"/>
      <c r="B341" s="289" t="n"/>
      <c r="C341" s="289" t="n"/>
      <c r="D341" s="289" t="n"/>
      <c r="E341" s="289" t="n"/>
      <c r="F341" s="352" t="n"/>
      <c r="G341" s="352" t="n"/>
      <c r="H341" s="352" t="n"/>
      <c r="I341" s="289" t="n"/>
      <c r="J341" s="289" t="n"/>
      <c r="K341" s="289" t="n"/>
      <c r="L341" s="352" t="n"/>
      <c r="M341" s="289" t="n"/>
      <c r="N341" s="352" t="n">
        <v>-30</v>
      </c>
      <c r="O341" s="289" t="inlineStr">
        <is>
          <t>Current/Notice/Vacant Residents</t>
        </is>
      </c>
    </row>
    <row r="342" ht="28.5" customHeight="1" s="234">
      <c r="A342" s="289" t="n"/>
      <c r="B342" s="289" t="n"/>
      <c r="C342" s="289" t="n"/>
      <c r="D342" s="289" t="n"/>
      <c r="E342" s="289" t="n"/>
      <c r="F342" s="352" t="n"/>
      <c r="G342" s="352" t="n"/>
      <c r="H342" s="352" t="n"/>
      <c r="I342" s="289" t="n"/>
      <c r="J342" s="289" t="n"/>
      <c r="K342" s="289" t="n"/>
      <c r="L342" s="352" t="n"/>
      <c r="M342" s="289" t="n"/>
      <c r="N342" s="352" t="n">
        <v>-26</v>
      </c>
      <c r="O342" s="289" t="inlineStr">
        <is>
          <t>Current/Notice/Vacant Residents</t>
        </is>
      </c>
    </row>
    <row r="343" ht="28.5" customHeight="1" s="234">
      <c r="A343" s="289" t="n"/>
      <c r="B343" s="289" t="n"/>
      <c r="C343" s="289" t="n"/>
      <c r="D343" s="289" t="n"/>
      <c r="E343" s="289" t="n"/>
      <c r="F343" s="352" t="n"/>
      <c r="G343" s="352" t="n"/>
      <c r="H343" s="352" t="n"/>
      <c r="I343" s="289" t="n"/>
      <c r="J343" s="289" t="n"/>
      <c r="K343" s="289" t="n"/>
      <c r="L343" s="352" t="n"/>
      <c r="M343" s="289" t="n"/>
      <c r="N343" s="352" t="n">
        <v>-86</v>
      </c>
      <c r="O343" s="289" t="inlineStr">
        <is>
          <t>Current/Notice/Vacant Residents</t>
        </is>
      </c>
    </row>
    <row r="344" ht="28.5" customHeight="1" s="234">
      <c r="A344" s="289" t="n"/>
      <c r="B344" s="289" t="n"/>
      <c r="C344" s="289" t="n"/>
      <c r="D344" s="289" t="n"/>
      <c r="E344" s="289" t="n"/>
      <c r="F344" s="352" t="n"/>
      <c r="G344" s="352" t="n"/>
      <c r="H344" s="352" t="n"/>
      <c r="I344" s="289" t="n"/>
      <c r="J344" s="289" t="n"/>
      <c r="K344" s="289" t="n"/>
      <c r="L344" s="352" t="n"/>
      <c r="M344" s="289" t="n"/>
      <c r="N344" s="352" t="n">
        <v>95</v>
      </c>
      <c r="O344" s="289" t="inlineStr">
        <is>
          <t>Current/Notice/Vacant Residents</t>
        </is>
      </c>
    </row>
    <row r="345" ht="28.5" customHeight="1" s="234">
      <c r="A345" s="289" t="n"/>
      <c r="B345" s="289" t="n"/>
      <c r="C345" s="289" t="n"/>
      <c r="D345" s="289" t="n"/>
      <c r="E345" s="289" t="n"/>
      <c r="F345" s="352" t="n"/>
      <c r="G345" s="352" t="n"/>
      <c r="H345" s="352" t="n"/>
      <c r="I345" s="289" t="n"/>
      <c r="J345" s="289" t="n"/>
      <c r="K345" s="289" t="n"/>
      <c r="L345" s="352" t="n"/>
      <c r="M345" s="289" t="n"/>
      <c r="N345" s="352" t="n">
        <v>-8</v>
      </c>
      <c r="O345" s="289" t="inlineStr">
        <is>
          <t>Current/Notice/Vacant Residents</t>
        </is>
      </c>
    </row>
    <row r="346" ht="28.5" customHeight="1" s="234">
      <c r="A346" s="289" t="n"/>
      <c r="B346" s="289" t="n"/>
      <c r="C346" s="289" t="n"/>
      <c r="D346" s="289" t="n"/>
      <c r="E346" s="289" t="n"/>
      <c r="F346" s="352" t="n"/>
      <c r="G346" s="352" t="n"/>
      <c r="H346" s="352" t="n"/>
      <c r="I346" s="289" t="n"/>
      <c r="J346" s="289" t="n"/>
      <c r="K346" s="289" t="n"/>
      <c r="L346" s="352" t="n"/>
      <c r="M346" s="289" t="n"/>
      <c r="N346" s="352" t="n">
        <v>23</v>
      </c>
      <c r="O346" s="289" t="inlineStr">
        <is>
          <t>Current/Notice/Vacant Residents</t>
        </is>
      </c>
    </row>
    <row r="347" ht="28.5" customHeight="1" s="234">
      <c r="A347" s="289" t="n"/>
      <c r="B347" s="289" t="n"/>
      <c r="C347" s="289" t="n"/>
      <c r="D347" s="289" t="n"/>
      <c r="E347" s="289" t="n"/>
      <c r="F347" s="352" t="n"/>
      <c r="G347" s="352" t="n"/>
      <c r="H347" s="352" t="n"/>
      <c r="I347" s="289" t="n"/>
      <c r="J347" s="289" t="n"/>
      <c r="K347" s="289" t="n"/>
      <c r="L347" s="352" t="n"/>
      <c r="M347" s="289" t="n"/>
      <c r="N347" s="352" t="n">
        <v>66</v>
      </c>
      <c r="O347" s="289" t="inlineStr">
        <is>
          <t>Current/Notice/Vacant Residents</t>
        </is>
      </c>
    </row>
    <row r="348" ht="28.5" customHeight="1" s="234">
      <c r="A348" s="289" t="n"/>
      <c r="B348" s="289" t="n"/>
      <c r="C348" s="289" t="n"/>
      <c r="D348" s="289" t="n"/>
      <c r="E348" s="289" t="n"/>
      <c r="F348" s="352" t="n"/>
      <c r="G348" s="352" t="n"/>
      <c r="H348" s="352" t="n"/>
      <c r="I348" s="289" t="n"/>
      <c r="J348" s="289" t="n"/>
      <c r="K348" s="289" t="n"/>
      <c r="L348" s="352" t="n"/>
      <c r="M348" s="289" t="n"/>
      <c r="N348" s="352" t="n">
        <v>-35</v>
      </c>
      <c r="O348" s="289" t="inlineStr">
        <is>
          <t>Current/Notice/Vacant Residents</t>
        </is>
      </c>
    </row>
    <row r="349" ht="28.5" customHeight="1" s="234">
      <c r="A349" s="289" t="n"/>
      <c r="B349" s="289" t="n"/>
      <c r="C349" s="289" t="n"/>
      <c r="D349" s="289" t="n"/>
      <c r="E349" s="289" t="n"/>
      <c r="F349" s="352" t="n"/>
      <c r="G349" s="352" t="n"/>
      <c r="H349" s="352" t="n"/>
      <c r="I349" s="289" t="n"/>
      <c r="J349" s="289" t="n"/>
      <c r="K349" s="289" t="n"/>
      <c r="L349" s="352" t="n"/>
      <c r="M349" s="289" t="n"/>
      <c r="N349" s="352" t="n">
        <v>9</v>
      </c>
      <c r="O349" s="289" t="inlineStr">
        <is>
          <t>Current/Notice/Vacant Residents</t>
        </is>
      </c>
    </row>
    <row r="350" ht="28.5" customHeight="1" s="234">
      <c r="A350" s="289" t="n"/>
      <c r="B350" s="289" t="n"/>
      <c r="C350" s="289" t="n"/>
      <c r="D350" s="289" t="n"/>
      <c r="E350" s="289" t="n"/>
      <c r="F350" s="352" t="n"/>
      <c r="G350" s="352" t="n"/>
      <c r="H350" s="352" t="n"/>
      <c r="I350" s="289" t="n"/>
      <c r="J350" s="289" t="n"/>
      <c r="K350" s="289" t="n"/>
      <c r="L350" s="352" t="n"/>
      <c r="M350" s="289" t="n"/>
      <c r="N350" s="352" t="n">
        <v>-198</v>
      </c>
      <c r="O350" s="289" t="inlineStr">
        <is>
          <t>Current/Notice/Vacant Residents</t>
        </is>
      </c>
    </row>
    <row r="351" ht="28.5" customHeight="1" s="234">
      <c r="A351" s="289" t="n"/>
      <c r="B351" s="289" t="n"/>
      <c r="C351" s="289" t="n"/>
      <c r="D351" s="289" t="n"/>
      <c r="E351" s="289" t="n"/>
      <c r="F351" s="352" t="n"/>
      <c r="G351" s="352" t="n"/>
      <c r="H351" s="352" t="n"/>
      <c r="I351" s="289" t="n"/>
      <c r="J351" s="289" t="n"/>
      <c r="K351" s="289" t="n"/>
      <c r="L351" s="352" t="n"/>
      <c r="M351" s="289" t="n"/>
      <c r="N351" s="352" t="n">
        <v>198</v>
      </c>
      <c r="O351" s="289" t="inlineStr">
        <is>
          <t>Current/Notice/Vacant Residents</t>
        </is>
      </c>
    </row>
    <row r="352" ht="28.5" customHeight="1" s="234">
      <c r="A352" s="289" t="n"/>
      <c r="B352" s="289" t="n"/>
      <c r="C352" s="289" t="n"/>
      <c r="D352" s="289" t="n"/>
      <c r="E352" s="289" t="n"/>
      <c r="F352" s="352" t="n"/>
      <c r="G352" s="352" t="n"/>
      <c r="H352" s="352" t="n"/>
      <c r="I352" s="289" t="n"/>
      <c r="J352" s="289" t="n"/>
      <c r="K352" s="289" t="n"/>
      <c r="L352" s="352" t="n"/>
      <c r="M352" s="289" t="n"/>
      <c r="N352" s="352" t="n">
        <v>-141</v>
      </c>
      <c r="O352" s="289" t="inlineStr">
        <is>
          <t>Current/Notice/Vacant Residents</t>
        </is>
      </c>
    </row>
    <row r="353" ht="28.5" customHeight="1" s="234">
      <c r="A353" s="289" t="n"/>
      <c r="B353" s="289" t="n"/>
      <c r="C353" s="289" t="n"/>
      <c r="D353" s="289" t="n"/>
      <c r="E353" s="289" t="n"/>
      <c r="F353" s="352" t="n"/>
      <c r="G353" s="352" t="n"/>
      <c r="H353" s="352" t="n"/>
      <c r="I353" s="289" t="n"/>
      <c r="J353" s="289" t="n"/>
      <c r="K353" s="289" t="n"/>
      <c r="L353" s="352" t="n"/>
      <c r="M353" s="289" t="n"/>
      <c r="N353" s="352" t="n">
        <v>25</v>
      </c>
      <c r="O353" s="289" t="inlineStr">
        <is>
          <t>Current/Notice/Vacant Residents</t>
        </is>
      </c>
    </row>
    <row r="354" ht="28.5" customHeight="1" s="234">
      <c r="A354" s="289" t="n"/>
      <c r="B354" s="289" t="n"/>
      <c r="C354" s="289" t="n"/>
      <c r="D354" s="289" t="n"/>
      <c r="E354" s="289" t="n"/>
      <c r="F354" s="352" t="n"/>
      <c r="G354" s="352" t="n"/>
      <c r="H354" s="352" t="n"/>
      <c r="I354" s="289" t="n"/>
      <c r="J354" s="289" t="n"/>
      <c r="K354" s="289" t="n"/>
      <c r="L354" s="352" t="n"/>
      <c r="M354" s="289" t="n"/>
      <c r="N354" s="352" t="n">
        <v>2133</v>
      </c>
      <c r="O354" s="289" t="inlineStr">
        <is>
          <t>Current/Notice/Vacant Residents</t>
        </is>
      </c>
    </row>
    <row r="355" ht="28.5" customHeight="1" s="234">
      <c r="A355" s="289" t="n"/>
      <c r="B355" s="289" t="n"/>
      <c r="C355" s="289" t="n"/>
      <c r="D355" s="289" t="n"/>
      <c r="E355" s="289" t="n"/>
      <c r="F355" s="352" t="n"/>
      <c r="G355" s="352" t="n"/>
      <c r="H355" s="352" t="n"/>
      <c r="I355" s="289" t="n"/>
      <c r="J355" s="289" t="n"/>
      <c r="K355" s="289" t="n"/>
      <c r="L355" s="352" t="n"/>
      <c r="M355" s="289" t="n"/>
      <c r="N355" s="352" t="n">
        <v>62</v>
      </c>
      <c r="O355" s="289" t="inlineStr">
        <is>
          <t>Current/Notice/Vacant Residents</t>
        </is>
      </c>
    </row>
    <row r="356" ht="28.5" customHeight="1" s="234">
      <c r="A356" s="289" t="n"/>
      <c r="B356" s="289" t="n"/>
      <c r="C356" s="289" t="n"/>
      <c r="D356" s="289" t="n"/>
      <c r="E356" s="289" t="n"/>
      <c r="F356" s="352" t="n"/>
      <c r="G356" s="352" t="n"/>
      <c r="H356" s="352" t="n"/>
      <c r="I356" s="289" t="n"/>
      <c r="J356" s="289" t="n"/>
      <c r="K356" s="289" t="n"/>
      <c r="L356" s="352" t="n"/>
      <c r="M356" s="289" t="n"/>
      <c r="N356" s="352" t="n">
        <v>182</v>
      </c>
      <c r="O356" s="289" t="inlineStr">
        <is>
          <t>Current/Notice/Vacant Residents</t>
        </is>
      </c>
    </row>
    <row r="357" ht="28.5" customHeight="1" s="234">
      <c r="A357" s="289" t="n"/>
      <c r="B357" s="289" t="n"/>
      <c r="C357" s="289" t="n"/>
      <c r="D357" s="289" t="n"/>
      <c r="E357" s="289" t="n"/>
      <c r="F357" s="352" t="n"/>
      <c r="G357" s="352" t="n"/>
      <c r="H357" s="352" t="n"/>
      <c r="I357" s="289" t="n"/>
      <c r="J357" s="289" t="n"/>
      <c r="K357" s="289" t="n"/>
      <c r="L357" s="352" t="n"/>
      <c r="M357" s="289" t="n"/>
      <c r="N357" s="352" t="n">
        <v>112</v>
      </c>
      <c r="O357" s="289" t="inlineStr">
        <is>
          <t>Current/Notice/Vacant Residents</t>
        </is>
      </c>
    </row>
    <row r="358" ht="28.5" customHeight="1" s="234">
      <c r="A358" s="289" t="n"/>
      <c r="B358" s="289" t="n"/>
      <c r="C358" s="289" t="n"/>
      <c r="D358" s="289" t="n"/>
      <c r="E358" s="289" t="n"/>
      <c r="F358" s="352" t="n"/>
      <c r="G358" s="352" t="n"/>
      <c r="H358" s="352" t="n"/>
      <c r="I358" s="289" t="n"/>
      <c r="J358" s="289" t="n"/>
      <c r="K358" s="289" t="n"/>
      <c r="L358" s="352" t="n"/>
      <c r="M358" s="289" t="n"/>
      <c r="N358" s="352" t="n">
        <v>54</v>
      </c>
      <c r="O358" s="289" t="inlineStr">
        <is>
          <t>Current/Notice/Vacant Residents</t>
        </is>
      </c>
    </row>
    <row r="359" ht="28.5" customHeight="1" s="234">
      <c r="A359" s="289" t="n"/>
      <c r="B359" s="289" t="n"/>
      <c r="C359" s="289" t="n"/>
      <c r="D359" s="289" t="n"/>
      <c r="E359" s="289" t="n"/>
      <c r="F359" s="352" t="n"/>
      <c r="G359" s="352" t="n"/>
      <c r="H359" s="352" t="n"/>
      <c r="I359" s="289" t="n"/>
      <c r="J359" s="289" t="n"/>
      <c r="K359" s="289" t="n"/>
      <c r="L359" s="352" t="n"/>
      <c r="M359" s="289" t="n"/>
      <c r="N359" s="352" t="n">
        <v>146</v>
      </c>
      <c r="O359" s="289" t="inlineStr">
        <is>
          <t>Current/Notice/Vacant Residents</t>
        </is>
      </c>
    </row>
    <row r="360" ht="28.5" customHeight="1" s="234">
      <c r="A360" s="289" t="n"/>
      <c r="B360" s="289" t="n"/>
      <c r="C360" s="289" t="n"/>
      <c r="D360" s="289" t="n"/>
      <c r="E360" s="289" t="n"/>
      <c r="F360" s="352" t="n"/>
      <c r="G360" s="352" t="n"/>
      <c r="H360" s="352" t="n"/>
      <c r="I360" s="289" t="n"/>
      <c r="J360" s="289" t="n"/>
      <c r="K360" s="289" t="n"/>
      <c r="L360" s="352" t="n"/>
      <c r="M360" s="289" t="n"/>
      <c r="N360" s="352" t="n">
        <v>228</v>
      </c>
      <c r="O360" s="289" t="inlineStr">
        <is>
          <t>Current/Notice/Vacant Residents</t>
        </is>
      </c>
    </row>
    <row r="361" ht="28.5" customHeight="1" s="234">
      <c r="A361" s="289" t="n"/>
      <c r="B361" s="289" t="n"/>
      <c r="C361" s="289" t="n"/>
      <c r="D361" s="289" t="n"/>
      <c r="E361" s="289" t="n"/>
      <c r="F361" s="352" t="n"/>
      <c r="G361" s="352" t="n"/>
      <c r="H361" s="352" t="n"/>
      <c r="I361" s="289" t="n"/>
      <c r="J361" s="289" t="n"/>
      <c r="K361" s="289" t="n"/>
      <c r="L361" s="352" t="n"/>
      <c r="M361" s="289" t="n"/>
      <c r="N361" s="352" t="n">
        <v>16</v>
      </c>
      <c r="O361" s="289" t="inlineStr">
        <is>
          <t>Current/Notice/Vacant Residents</t>
        </is>
      </c>
    </row>
    <row r="362" ht="28.5" customHeight="1" s="234">
      <c r="A362" s="289" t="n"/>
      <c r="B362" s="289" t="n"/>
      <c r="C362" s="289" t="n"/>
      <c r="D362" s="289" t="n"/>
      <c r="E362" s="289" t="n"/>
      <c r="F362" s="352" t="n"/>
      <c r="G362" s="352" t="n"/>
      <c r="H362" s="352" t="n"/>
      <c r="I362" s="289" t="n"/>
      <c r="J362" s="289" t="n"/>
      <c r="K362" s="289" t="n"/>
      <c r="L362" s="352" t="n"/>
      <c r="M362" s="289" t="n"/>
      <c r="N362" s="352" t="n">
        <v>-368</v>
      </c>
      <c r="O362" s="289" t="inlineStr">
        <is>
          <t>Current/Notice/Vacant Residents</t>
        </is>
      </c>
    </row>
    <row r="363">
      <c r="A363" s="289" t="n"/>
      <c r="B363" s="289" t="n"/>
      <c r="C363" s="289" t="n"/>
      <c r="D363" s="289" t="n"/>
      <c r="E363" s="289" t="n"/>
      <c r="F363" s="352" t="n"/>
      <c r="G363" s="352" t="n"/>
      <c r="H363" s="352" t="n"/>
      <c r="I363" s="289" t="n"/>
      <c r="J363" s="289" t="n"/>
      <c r="K363" s="289" t="n"/>
      <c r="L363" s="352" t="n"/>
      <c r="M363" s="289" t="n"/>
      <c r="N363" s="352" t="n">
        <v>1674</v>
      </c>
      <c r="O363" s="289" t="inlineStr">
        <is>
          <t>Current/Notice/Vacant Residents</t>
        </is>
      </c>
    </row>
    <row r="364" ht="28.5" customHeight="1" s="234">
      <c r="A364" s="289" t="n"/>
      <c r="B364" s="289" t="n"/>
      <c r="C364" s="289" t="n"/>
      <c r="D364" s="289" t="n"/>
      <c r="E364" s="289" t="n"/>
      <c r="F364" s="352" t="n"/>
      <c r="G364" s="352" t="n"/>
      <c r="H364" s="352" t="n"/>
      <c r="I364" s="289" t="n"/>
      <c r="J364" s="289" t="n"/>
      <c r="K364" s="289" t="n"/>
      <c r="L364" s="352" t="n"/>
      <c r="M364" s="289" t="n"/>
      <c r="N364" s="352" t="n">
        <v>85</v>
      </c>
      <c r="O364" s="289" t="inlineStr">
        <is>
          <t>Current/Notice/Vacant Residents</t>
        </is>
      </c>
    </row>
    <row r="365" ht="28.5" customHeight="1" s="234">
      <c r="A365" s="289" t="n"/>
      <c r="B365" s="289" t="n"/>
      <c r="C365" s="289" t="n"/>
      <c r="D365" s="289" t="n"/>
      <c r="E365" s="289" t="n"/>
      <c r="F365" s="352" t="n"/>
      <c r="G365" s="352" t="n"/>
      <c r="H365" s="352" t="n"/>
      <c r="I365" s="289" t="n"/>
      <c r="J365" s="289" t="n"/>
      <c r="K365" s="289" t="n"/>
      <c r="L365" s="352" t="n"/>
      <c r="M365" s="289" t="n"/>
      <c r="N365" s="352" t="n">
        <v>-83</v>
      </c>
      <c r="O365" s="289" t="inlineStr">
        <is>
          <t>Current/Notice/Vacant Residents</t>
        </is>
      </c>
    </row>
    <row r="366" ht="28.5" customHeight="1" s="234">
      <c r="A366" s="289" t="n"/>
      <c r="B366" s="289" t="n"/>
      <c r="C366" s="289" t="n"/>
      <c r="D366" s="289" t="n"/>
      <c r="E366" s="289" t="n"/>
      <c r="F366" s="352" t="n"/>
      <c r="G366" s="352" t="n"/>
      <c r="H366" s="352" t="n"/>
      <c r="I366" s="289" t="n"/>
      <c r="J366" s="289" t="n"/>
      <c r="K366" s="289" t="n"/>
      <c r="L366" s="352" t="n"/>
      <c r="M366" s="289" t="n"/>
      <c r="N366" s="352" t="n">
        <v>-209</v>
      </c>
      <c r="O366" s="289" t="inlineStr">
        <is>
          <t>Current/Notice/Vacant Residents</t>
        </is>
      </c>
    </row>
    <row r="367" ht="28.5" customHeight="1" s="234">
      <c r="A367" s="289" t="n"/>
      <c r="B367" s="289" t="n"/>
      <c r="C367" s="289" t="n"/>
      <c r="D367" s="289" t="n"/>
      <c r="E367" s="289" t="n"/>
      <c r="F367" s="352" t="n"/>
      <c r="G367" s="352" t="n"/>
      <c r="H367" s="352" t="n"/>
      <c r="I367" s="289" t="n"/>
      <c r="J367" s="289" t="n"/>
      <c r="K367" s="289" t="n"/>
      <c r="L367" s="352" t="n"/>
      <c r="M367" s="289" t="n"/>
      <c r="N367" s="352" t="n">
        <v>-5</v>
      </c>
      <c r="O367" s="289" t="inlineStr">
        <is>
          <t>Current/Notice/Vacant Residents</t>
        </is>
      </c>
    </row>
    <row r="368" ht="28.5" customHeight="1" s="234">
      <c r="A368" s="289" t="n"/>
      <c r="B368" s="289" t="n"/>
      <c r="C368" s="289" t="n"/>
      <c r="D368" s="289" t="n"/>
      <c r="E368" s="289" t="n"/>
      <c r="F368" s="352" t="n"/>
      <c r="G368" s="352" t="n"/>
      <c r="H368" s="352" t="n"/>
      <c r="I368" s="289" t="n"/>
      <c r="J368" s="289" t="n"/>
      <c r="K368" s="289" t="n"/>
      <c r="L368" s="352" t="n"/>
      <c r="M368" s="289" t="n"/>
      <c r="N368" s="352" t="n">
        <v>51</v>
      </c>
      <c r="O368" s="289" t="inlineStr">
        <is>
          <t>Current/Notice/Vacant Residents</t>
        </is>
      </c>
    </row>
    <row r="369" ht="28.5" customHeight="1" s="234">
      <c r="A369" s="289" t="n"/>
      <c r="B369" s="289" t="n"/>
      <c r="C369" s="289" t="n"/>
      <c r="D369" s="289" t="n"/>
      <c r="E369" s="289" t="n"/>
      <c r="F369" s="352" t="n"/>
      <c r="G369" s="352" t="n"/>
      <c r="H369" s="352" t="n"/>
      <c r="I369" s="289" t="n"/>
      <c r="J369" s="289" t="n"/>
      <c r="K369" s="289" t="n"/>
      <c r="L369" s="352" t="n"/>
      <c r="M369" s="289" t="n"/>
      <c r="N369" s="352" t="n">
        <v>-145</v>
      </c>
      <c r="O369" s="289" t="inlineStr">
        <is>
          <t>Current/Notice/Vacant Residents</t>
        </is>
      </c>
    </row>
    <row r="370" ht="28.5" customHeight="1" s="234">
      <c r="A370" s="289" t="n"/>
      <c r="B370" s="289" t="n"/>
      <c r="C370" s="289" t="n"/>
      <c r="D370" s="289" t="n"/>
      <c r="E370" s="289" t="n"/>
      <c r="F370" s="352" t="n"/>
      <c r="G370" s="352" t="n"/>
      <c r="H370" s="352" t="n"/>
      <c r="I370" s="289" t="n"/>
      <c r="J370" s="289" t="n"/>
      <c r="K370" s="289" t="n"/>
      <c r="L370" s="352" t="n"/>
      <c r="M370" s="289" t="n"/>
      <c r="N370" s="352" t="n">
        <v>-40</v>
      </c>
      <c r="O370" s="289" t="inlineStr">
        <is>
          <t>Current/Notice/Vacant Residents</t>
        </is>
      </c>
    </row>
    <row r="371" ht="28.5" customHeight="1" s="234">
      <c r="A371" s="289" t="n"/>
      <c r="B371" s="289" t="n"/>
      <c r="C371" s="289" t="n"/>
      <c r="D371" s="289" t="n"/>
      <c r="E371" s="289" t="n"/>
      <c r="F371" s="352" t="n"/>
      <c r="G371" s="352" t="n"/>
      <c r="H371" s="352" t="n"/>
      <c r="I371" s="289" t="n"/>
      <c r="J371" s="289" t="n"/>
      <c r="K371" s="289" t="n"/>
      <c r="L371" s="352" t="n"/>
      <c r="M371" s="289" t="n"/>
      <c r="N371" s="352" t="n">
        <v>162</v>
      </c>
      <c r="O371" s="289" t="inlineStr">
        <is>
          <t>Current/Notice/Vacant Residents</t>
        </is>
      </c>
    </row>
    <row r="372" ht="28.5" customHeight="1" s="234">
      <c r="A372" s="289" t="n"/>
      <c r="B372" s="289" t="n"/>
      <c r="C372" s="289" t="n"/>
      <c r="D372" s="289" t="n"/>
      <c r="E372" s="289" t="n"/>
      <c r="F372" s="352" t="n"/>
      <c r="G372" s="352" t="n"/>
      <c r="H372" s="352" t="n"/>
      <c r="I372" s="289" t="n"/>
      <c r="J372" s="289" t="n"/>
      <c r="K372" s="289" t="n"/>
      <c r="L372" s="352" t="n"/>
      <c r="M372" s="289" t="n"/>
      <c r="N372" s="352" t="n">
        <v>75</v>
      </c>
      <c r="O372" s="289" t="inlineStr">
        <is>
          <t>Current/Notice/Vacant Residents</t>
        </is>
      </c>
    </row>
    <row r="373" ht="28.5" customHeight="1" s="234">
      <c r="A373" s="289" t="n"/>
      <c r="B373" s="289" t="n"/>
      <c r="C373" s="289" t="n"/>
      <c r="D373" s="289" t="n"/>
      <c r="E373" s="289" t="n"/>
      <c r="F373" s="352" t="n"/>
      <c r="G373" s="352" t="n"/>
      <c r="H373" s="352" t="n"/>
      <c r="I373" s="289" t="n"/>
      <c r="J373" s="289" t="n"/>
      <c r="K373" s="289" t="n"/>
      <c r="L373" s="352" t="n"/>
      <c r="M373" s="289" t="n"/>
      <c r="N373" s="352" t="n">
        <v>-39</v>
      </c>
      <c r="O373" s="289" t="inlineStr">
        <is>
          <t>Current/Notice/Vacant Residents</t>
        </is>
      </c>
    </row>
    <row r="374" ht="28.5" customHeight="1" s="234">
      <c r="A374" s="289" t="n"/>
      <c r="B374" s="289" t="n"/>
      <c r="C374" s="289" t="n"/>
      <c r="D374" s="289" t="n"/>
      <c r="E374" s="289" t="n"/>
      <c r="F374" s="352" t="n"/>
      <c r="G374" s="352" t="n"/>
      <c r="H374" s="352" t="n"/>
      <c r="I374" s="289" t="n"/>
      <c r="J374" s="289" t="n"/>
      <c r="K374" s="289" t="n"/>
      <c r="L374" s="352" t="n"/>
      <c r="M374" s="289" t="n"/>
      <c r="N374" s="352" t="n">
        <v>1774</v>
      </c>
      <c r="O374" s="289" t="inlineStr">
        <is>
          <t>Current/Notice/Vacant Residents</t>
        </is>
      </c>
    </row>
    <row r="375" ht="28.5" customHeight="1" s="234">
      <c r="A375" s="289" t="n"/>
      <c r="B375" s="289" t="n"/>
      <c r="C375" s="289" t="n"/>
      <c r="D375" s="289" t="n"/>
      <c r="E375" s="289" t="n"/>
      <c r="F375" s="352" t="n"/>
      <c r="G375" s="352" t="n"/>
      <c r="H375" s="352" t="n"/>
      <c r="I375" s="289" t="n"/>
      <c r="J375" s="289" t="n"/>
      <c r="K375" s="289" t="n"/>
      <c r="L375" s="352" t="n"/>
      <c r="M375" s="289" t="n"/>
      <c r="N375" s="352" t="n">
        <v>-211</v>
      </c>
      <c r="O375" s="289" t="inlineStr">
        <is>
          <t>Current/Notice/Vacant Residents</t>
        </is>
      </c>
    </row>
    <row r="376">
      <c r="A376" s="289" t="n"/>
      <c r="B376" s="289" t="n"/>
      <c r="C376" s="289" t="n"/>
      <c r="D376" s="289" t="n"/>
      <c r="E376" s="289" t="n"/>
      <c r="F376" s="352" t="n"/>
      <c r="G376" s="352" t="n"/>
      <c r="H376" s="352" t="n"/>
      <c r="I376" s="289" t="n"/>
      <c r="J376" s="289" t="n"/>
      <c r="K376" s="289" t="n"/>
      <c r="L376" s="352" t="n"/>
      <c r="M376" s="289" t="n"/>
      <c r="N376" s="352" t="n">
        <v>1674</v>
      </c>
      <c r="O376" s="289" t="inlineStr">
        <is>
          <t>Current/Notice/Vacant Residents</t>
        </is>
      </c>
    </row>
    <row r="377" ht="28.5" customHeight="1" s="234">
      <c r="A377" s="289" t="n"/>
      <c r="B377" s="289" t="n"/>
      <c r="C377" s="289" t="n"/>
      <c r="D377" s="289" t="n"/>
      <c r="E377" s="289" t="n"/>
      <c r="F377" s="352" t="n"/>
      <c r="G377" s="352" t="n"/>
      <c r="H377" s="352" t="n"/>
      <c r="I377" s="289" t="n"/>
      <c r="J377" s="289" t="n"/>
      <c r="K377" s="289" t="n"/>
      <c r="L377" s="352" t="n"/>
      <c r="M377" s="289" t="n"/>
      <c r="N377" s="352" t="n">
        <v>96</v>
      </c>
      <c r="O377" s="289" t="inlineStr">
        <is>
          <t>Current/Notice/Vacant Residents</t>
        </is>
      </c>
    </row>
    <row r="378" ht="28.5" customHeight="1" s="234">
      <c r="A378" s="289" t="n"/>
      <c r="B378" s="289" t="n"/>
      <c r="C378" s="289" t="n"/>
      <c r="D378" s="289" t="n"/>
      <c r="E378" s="289" t="n"/>
      <c r="F378" s="352" t="n"/>
      <c r="G378" s="352" t="n"/>
      <c r="H378" s="352" t="n"/>
      <c r="I378" s="289" t="n"/>
      <c r="J378" s="289" t="n"/>
      <c r="K378" s="289" t="n"/>
      <c r="L378" s="352" t="n"/>
      <c r="M378" s="289" t="n"/>
      <c r="N378" s="352" t="n">
        <v>-39</v>
      </c>
      <c r="O378" s="289" t="inlineStr">
        <is>
          <t>Current/Notice/Vacant Residents</t>
        </is>
      </c>
    </row>
    <row r="379" ht="28.5" customHeight="1" s="234">
      <c r="A379" s="289" t="n"/>
      <c r="B379" s="289" t="n"/>
      <c r="C379" s="289" t="n"/>
      <c r="D379" s="289" t="n"/>
      <c r="E379" s="289" t="n"/>
      <c r="F379" s="352" t="n"/>
      <c r="G379" s="352" t="n"/>
      <c r="H379" s="352" t="n"/>
      <c r="I379" s="289" t="n"/>
      <c r="J379" s="289" t="n"/>
      <c r="K379" s="289" t="n"/>
      <c r="L379" s="352" t="n"/>
      <c r="M379" s="289" t="n"/>
      <c r="N379" s="352" t="n">
        <v>-64</v>
      </c>
      <c r="O379" s="289" t="inlineStr">
        <is>
          <t>Current/Notice/Vacant Residents</t>
        </is>
      </c>
    </row>
    <row r="380" ht="28.5" customHeight="1" s="234">
      <c r="A380" s="289" t="n"/>
      <c r="B380" s="289" t="n"/>
      <c r="C380" s="289" t="n"/>
      <c r="D380" s="289" t="n"/>
      <c r="E380" s="289" t="n"/>
      <c r="F380" s="352" t="n"/>
      <c r="G380" s="352" t="n"/>
      <c r="H380" s="352" t="n"/>
      <c r="I380" s="289" t="n"/>
      <c r="J380" s="289" t="n"/>
      <c r="K380" s="289" t="n"/>
      <c r="L380" s="352" t="n"/>
      <c r="M380" s="289" t="n"/>
      <c r="N380" s="352" t="n">
        <v>-38</v>
      </c>
      <c r="O380" s="289" t="inlineStr">
        <is>
          <t>Current/Notice/Vacant Residents</t>
        </is>
      </c>
    </row>
    <row r="381" ht="28.5" customHeight="1" s="234">
      <c r="A381" s="289" t="n"/>
      <c r="B381" s="289" t="n"/>
      <c r="C381" s="289" t="n"/>
      <c r="D381" s="289" t="n"/>
      <c r="E381" s="289" t="n"/>
      <c r="F381" s="352" t="n"/>
      <c r="G381" s="352" t="n"/>
      <c r="H381" s="352" t="n"/>
      <c r="I381" s="289" t="n"/>
      <c r="J381" s="289" t="n"/>
      <c r="K381" s="289" t="n"/>
      <c r="L381" s="352" t="n"/>
      <c r="M381" s="289" t="n"/>
      <c r="N381" s="352" t="n">
        <v>2</v>
      </c>
      <c r="O381" s="289" t="inlineStr">
        <is>
          <t>Current/Notice/Vacant Residents</t>
        </is>
      </c>
    </row>
    <row r="382" ht="28.5" customHeight="1" s="234">
      <c r="A382" s="289" t="n"/>
      <c r="B382" s="289" t="n"/>
      <c r="C382" s="289" t="n"/>
      <c r="D382" s="289" t="n"/>
      <c r="E382" s="289" t="n"/>
      <c r="F382" s="352" t="n"/>
      <c r="G382" s="352" t="n"/>
      <c r="H382" s="352" t="n"/>
      <c r="I382" s="289" t="n"/>
      <c r="J382" s="289" t="n"/>
      <c r="K382" s="289" t="n"/>
      <c r="L382" s="352" t="n"/>
      <c r="M382" s="289" t="n"/>
      <c r="N382" s="352" t="n">
        <v>105</v>
      </c>
      <c r="O382" s="289" t="inlineStr">
        <is>
          <t>Current/Notice/Vacant Residents</t>
        </is>
      </c>
    </row>
    <row r="383" ht="28.5" customHeight="1" s="234">
      <c r="A383" s="289" t="n"/>
      <c r="B383" s="289" t="n"/>
      <c r="C383" s="289" t="n"/>
      <c r="D383" s="289" t="n"/>
      <c r="E383" s="289" t="n"/>
      <c r="F383" s="352" t="n"/>
      <c r="G383" s="352" t="n"/>
      <c r="H383" s="352" t="n"/>
      <c r="I383" s="289" t="n"/>
      <c r="J383" s="289" t="n"/>
      <c r="K383" s="289" t="n"/>
      <c r="L383" s="352" t="n"/>
      <c r="M383" s="289" t="n"/>
      <c r="N383" s="352" t="n">
        <v>1382</v>
      </c>
      <c r="O383" s="289" t="inlineStr">
        <is>
          <t>Current/Notice/Vacant Residents</t>
        </is>
      </c>
    </row>
    <row r="384" ht="28.5" customHeight="1" s="234">
      <c r="A384" s="289" t="n"/>
      <c r="B384" s="289" t="n"/>
      <c r="C384" s="289" t="n"/>
      <c r="D384" s="289" t="n"/>
      <c r="E384" s="289" t="n"/>
      <c r="F384" s="352" t="n"/>
      <c r="G384" s="352" t="n"/>
      <c r="H384" s="352" t="n"/>
      <c r="I384" s="289" t="n"/>
      <c r="J384" s="289" t="n"/>
      <c r="K384" s="289" t="n"/>
      <c r="L384" s="352" t="n"/>
      <c r="M384" s="289" t="n"/>
      <c r="N384" s="352" t="n">
        <v>88</v>
      </c>
      <c r="O384" s="289" t="inlineStr">
        <is>
          <t>Current/Notice/Vacant Residents</t>
        </is>
      </c>
    </row>
    <row r="385" ht="28.5" customHeight="1" s="234">
      <c r="A385" s="289" t="n"/>
      <c r="B385" s="289" t="n"/>
      <c r="C385" s="289" t="n"/>
      <c r="D385" s="289" t="n"/>
      <c r="E385" s="289" t="n"/>
      <c r="F385" s="352" t="n"/>
      <c r="G385" s="352" t="n"/>
      <c r="H385" s="352" t="n"/>
      <c r="I385" s="289" t="n"/>
      <c r="J385" s="289" t="n"/>
      <c r="K385" s="289" t="n"/>
      <c r="L385" s="352" t="n"/>
      <c r="M385" s="289" t="n"/>
      <c r="N385" s="352" t="n">
        <v>-54</v>
      </c>
      <c r="O385" s="289" t="inlineStr">
        <is>
          <t>Current/Notice/Vacant Residents</t>
        </is>
      </c>
    </row>
    <row r="386" ht="28.5" customHeight="1" s="234">
      <c r="A386" s="289" t="n"/>
      <c r="B386" s="289" t="n"/>
      <c r="C386" s="289" t="n"/>
      <c r="D386" s="289" t="n"/>
      <c r="E386" s="289" t="n"/>
      <c r="F386" s="352" t="n"/>
      <c r="G386" s="352" t="n"/>
      <c r="H386" s="352" t="n"/>
      <c r="I386" s="289" t="n"/>
      <c r="J386" s="289" t="n"/>
      <c r="K386" s="289" t="n"/>
      <c r="L386" s="352" t="n"/>
      <c r="M386" s="289" t="n"/>
      <c r="N386" s="352" t="n">
        <v>-32</v>
      </c>
      <c r="O386" s="289" t="inlineStr">
        <is>
          <t>Current/Notice/Vacant Residents</t>
        </is>
      </c>
    </row>
    <row r="387" ht="28.5" customHeight="1" s="234">
      <c r="A387" s="289" t="n"/>
      <c r="B387" s="289" t="n"/>
      <c r="C387" s="289" t="n"/>
      <c r="D387" s="289" t="n"/>
      <c r="E387" s="289" t="n"/>
      <c r="F387" s="352" t="n"/>
      <c r="G387" s="352" t="n"/>
      <c r="H387" s="352" t="n"/>
      <c r="I387" s="289" t="n"/>
      <c r="J387" s="289" t="n"/>
      <c r="K387" s="289" t="n"/>
      <c r="L387" s="352" t="n"/>
      <c r="M387" s="289" t="n"/>
      <c r="N387" s="352" t="n">
        <v>-75</v>
      </c>
      <c r="O387" s="289" t="inlineStr">
        <is>
          <t>Current/Notice/Vacant Residents</t>
        </is>
      </c>
    </row>
    <row r="388" ht="28.5" customHeight="1" s="234">
      <c r="A388" s="289" t="n"/>
      <c r="B388" s="289" t="n"/>
      <c r="C388" s="289" t="n"/>
      <c r="D388" s="289" t="n"/>
      <c r="E388" s="289" t="n"/>
      <c r="F388" s="352" t="n"/>
      <c r="G388" s="352" t="n"/>
      <c r="H388" s="352" t="n"/>
      <c r="I388" s="289" t="n"/>
      <c r="J388" s="289" t="n"/>
      <c r="K388" s="289" t="n"/>
      <c r="L388" s="352" t="n"/>
      <c r="M388" s="289" t="n"/>
      <c r="N388" s="352" t="n">
        <v>-105</v>
      </c>
      <c r="O388" s="289" t="inlineStr">
        <is>
          <t>Current/Notice/Vacant Residents</t>
        </is>
      </c>
    </row>
    <row r="389" ht="28.5" customHeight="1" s="234">
      <c r="A389" s="289" t="n"/>
      <c r="B389" s="289" t="n"/>
      <c r="C389" s="289" t="n"/>
      <c r="D389" s="289" t="n"/>
      <c r="E389" s="289" t="n"/>
      <c r="F389" s="352" t="n"/>
      <c r="G389" s="352" t="n"/>
      <c r="H389" s="352" t="n"/>
      <c r="I389" s="289" t="n"/>
      <c r="J389" s="289" t="n"/>
      <c r="K389" s="289" t="n"/>
      <c r="L389" s="352" t="n"/>
      <c r="M389" s="289" t="n"/>
      <c r="N389" s="352" t="n">
        <v>18</v>
      </c>
      <c r="O389" s="289" t="inlineStr">
        <is>
          <t>Current/Notice/Vacant Residents</t>
        </is>
      </c>
    </row>
    <row r="390">
      <c r="A390" s="289" t="n"/>
      <c r="B390" s="289" t="n"/>
      <c r="C390" s="289" t="n"/>
      <c r="D390" s="289" t="n"/>
      <c r="E390" s="289" t="n"/>
      <c r="F390" s="352" t="n"/>
      <c r="G390" s="352" t="n"/>
      <c r="H390" s="352" t="n"/>
      <c r="I390" s="289" t="n"/>
      <c r="J390" s="289" t="n"/>
      <c r="K390" s="289" t="n"/>
      <c r="L390" s="352" t="n"/>
      <c r="M390" s="289" t="n"/>
      <c r="N390" s="352" t="n">
        <v>1893</v>
      </c>
      <c r="O390" s="289" t="inlineStr">
        <is>
          <t>Current/Notice/Vacant Residents</t>
        </is>
      </c>
    </row>
    <row r="391" ht="28.5" customHeight="1" s="234">
      <c r="A391" s="289" t="n"/>
      <c r="B391" s="289" t="n"/>
      <c r="C391" s="289" t="n"/>
      <c r="D391" s="289" t="n"/>
      <c r="E391" s="289" t="n"/>
      <c r="F391" s="352" t="n"/>
      <c r="G391" s="352" t="n"/>
      <c r="H391" s="352" t="n"/>
      <c r="I391" s="289" t="n"/>
      <c r="J391" s="289" t="n"/>
      <c r="K391" s="289" t="n"/>
      <c r="L391" s="352" t="n"/>
      <c r="M391" s="289" t="n"/>
      <c r="N391" s="352" t="n">
        <v>2</v>
      </c>
      <c r="O391" s="289" t="inlineStr">
        <is>
          <t>Current/Notice/Vacant Residents</t>
        </is>
      </c>
    </row>
    <row r="392" ht="28.5" customHeight="1" s="234">
      <c r="A392" s="289" t="n"/>
      <c r="B392" s="289" t="n"/>
      <c r="C392" s="289" t="n"/>
      <c r="D392" s="289" t="n"/>
      <c r="E392" s="289" t="n"/>
      <c r="F392" s="352" t="n"/>
      <c r="G392" s="352" t="n"/>
      <c r="H392" s="352" t="n"/>
      <c r="I392" s="289" t="n"/>
      <c r="J392" s="289" t="n"/>
      <c r="K392" s="289" t="n"/>
      <c r="L392" s="352" t="n"/>
      <c r="M392" s="289" t="n"/>
      <c r="N392" s="352" t="n">
        <v>138</v>
      </c>
      <c r="O392" s="289" t="inlineStr">
        <is>
          <t>Current/Notice/Vacant Residents</t>
        </is>
      </c>
    </row>
    <row r="393" ht="28.5" customHeight="1" s="234">
      <c r="A393" s="289" t="n"/>
      <c r="B393" s="289" t="n"/>
      <c r="C393" s="289" t="n"/>
      <c r="D393" s="289" t="n"/>
      <c r="E393" s="289" t="n"/>
      <c r="F393" s="352" t="n"/>
      <c r="G393" s="352" t="n"/>
      <c r="H393" s="352" t="n"/>
      <c r="I393" s="289" t="n"/>
      <c r="J393" s="289" t="n"/>
      <c r="K393" s="289" t="n"/>
      <c r="L393" s="352" t="n"/>
      <c r="M393" s="289" t="n"/>
      <c r="N393" s="352" t="n">
        <v>-44</v>
      </c>
      <c r="O393" s="289" t="inlineStr">
        <is>
          <t>Current/Notice/Vacant Residents</t>
        </is>
      </c>
    </row>
    <row r="394" ht="28.5" customHeight="1" s="234">
      <c r="A394" s="289" t="n"/>
      <c r="B394" s="289" t="n"/>
      <c r="C394" s="289" t="n"/>
      <c r="D394" s="289" t="n"/>
      <c r="E394" s="289" t="n"/>
      <c r="F394" s="352" t="n"/>
      <c r="G394" s="352" t="n"/>
      <c r="H394" s="352" t="n"/>
      <c r="I394" s="289" t="n"/>
      <c r="J394" s="289" t="n"/>
      <c r="K394" s="289" t="n"/>
      <c r="L394" s="352" t="n"/>
      <c r="M394" s="289" t="n"/>
      <c r="N394" s="352" t="n">
        <v>39</v>
      </c>
      <c r="O394" s="289" t="inlineStr">
        <is>
          <t>Current/Notice/Vacant Residents</t>
        </is>
      </c>
    </row>
    <row r="395">
      <c r="A395" s="289" t="n"/>
      <c r="B395" s="289" t="n"/>
      <c r="C395" s="289" t="n"/>
      <c r="D395" s="289" t="n"/>
      <c r="E395" s="289" t="n"/>
      <c r="F395" s="352" t="n"/>
      <c r="G395" s="352" t="n"/>
      <c r="H395" s="352" t="n"/>
      <c r="I395" s="289" t="n"/>
      <c r="J395" s="289" t="n"/>
      <c r="K395" s="289" t="n"/>
      <c r="L395" s="352" t="n"/>
      <c r="M395" s="289" t="n"/>
      <c r="N395" s="352" t="n">
        <v>2227</v>
      </c>
      <c r="O395" s="289" t="inlineStr">
        <is>
          <t>Current/Notice/Vacant Residents</t>
        </is>
      </c>
    </row>
    <row r="396" ht="28.5" customHeight="1" s="234">
      <c r="A396" s="289" t="n"/>
      <c r="B396" s="289" t="n"/>
      <c r="C396" s="289" t="n"/>
      <c r="D396" s="289" t="n"/>
      <c r="E396" s="289" t="n"/>
      <c r="F396" s="352" t="n"/>
      <c r="G396" s="352" t="n"/>
      <c r="H396" s="352" t="n"/>
      <c r="I396" s="289" t="n"/>
      <c r="J396" s="289" t="n"/>
      <c r="K396" s="289" t="n"/>
      <c r="L396" s="352" t="n"/>
      <c r="M396" s="289" t="n"/>
      <c r="N396" s="352" t="n">
        <v>158</v>
      </c>
      <c r="O396" s="289" t="inlineStr">
        <is>
          <t>Current/Notice/Vacant Residents</t>
        </is>
      </c>
    </row>
    <row r="397" ht="28.5" customHeight="1" s="234">
      <c r="A397" s="289" t="n"/>
      <c r="B397" s="289" t="n"/>
      <c r="C397" s="289" t="n"/>
      <c r="D397" s="289" t="n"/>
      <c r="E397" s="289" t="n"/>
      <c r="F397" s="352" t="n"/>
      <c r="G397" s="352" t="n"/>
      <c r="H397" s="352" t="n"/>
      <c r="I397" s="289" t="n"/>
      <c r="J397" s="289" t="n"/>
      <c r="K397" s="289" t="n"/>
      <c r="L397" s="352" t="n"/>
      <c r="M397" s="289" t="n"/>
      <c r="N397" s="352" t="n">
        <v>228</v>
      </c>
      <c r="O397" s="289" t="inlineStr">
        <is>
          <t>Current/Notice/Vacant Residents</t>
        </is>
      </c>
    </row>
    <row r="398" ht="28.5" customHeight="1" s="234">
      <c r="A398" s="289" t="n"/>
      <c r="B398" s="289" t="n"/>
      <c r="C398" s="289" t="n"/>
      <c r="D398" s="289" t="n"/>
      <c r="E398" s="289" t="n"/>
      <c r="F398" s="352" t="n"/>
      <c r="G398" s="352" t="n"/>
      <c r="H398" s="352" t="n"/>
      <c r="I398" s="289" t="n"/>
      <c r="J398" s="289" t="n"/>
      <c r="K398" s="289" t="n"/>
      <c r="L398" s="352" t="n"/>
      <c r="M398" s="289" t="n"/>
      <c r="N398" s="352" t="n">
        <v>181</v>
      </c>
      <c r="O398" s="289" t="inlineStr">
        <is>
          <t>Current/Notice/Vacant Residents</t>
        </is>
      </c>
    </row>
    <row r="399" ht="28.5" customHeight="1" s="234">
      <c r="A399" s="289" t="n"/>
      <c r="B399" s="289" t="n"/>
      <c r="C399" s="289" t="n"/>
      <c r="D399" s="289" t="n"/>
      <c r="E399" s="289" t="n"/>
      <c r="F399" s="352" t="n"/>
      <c r="G399" s="352" t="n"/>
      <c r="H399" s="352" t="n"/>
      <c r="I399" s="289" t="n"/>
      <c r="J399" s="289" t="n"/>
      <c r="K399" s="289" t="n"/>
      <c r="L399" s="352" t="n"/>
      <c r="M399" s="289" t="n"/>
      <c r="N399" s="352" t="n">
        <v>-29</v>
      </c>
      <c r="O399" s="289" t="inlineStr">
        <is>
          <t>Current/Notice/Vacant Residents</t>
        </is>
      </c>
    </row>
    <row r="400" ht="28.5" customHeight="1" s="234">
      <c r="A400" s="289" t="n"/>
      <c r="B400" s="289" t="n"/>
      <c r="C400" s="289" t="n"/>
      <c r="D400" s="289" t="n"/>
      <c r="E400" s="289" t="n"/>
      <c r="F400" s="352" t="n"/>
      <c r="G400" s="352" t="n"/>
      <c r="H400" s="352" t="n"/>
      <c r="I400" s="289" t="n"/>
      <c r="J400" s="289" t="n"/>
      <c r="K400" s="289" t="n"/>
      <c r="L400" s="352" t="n"/>
      <c r="M400" s="289" t="n"/>
      <c r="N400" s="352" t="n">
        <v>-46</v>
      </c>
      <c r="O400" s="289" t="inlineStr">
        <is>
          <t>Current/Notice/Vacant Residents</t>
        </is>
      </c>
    </row>
    <row r="401" ht="28.5" customHeight="1" s="234">
      <c r="A401" s="289" t="n"/>
      <c r="B401" s="289" t="n"/>
      <c r="C401" s="289" t="n"/>
      <c r="D401" s="289" t="n"/>
      <c r="E401" s="289" t="n"/>
      <c r="F401" s="352" t="n"/>
      <c r="G401" s="352" t="n"/>
      <c r="H401" s="352" t="n"/>
      <c r="I401" s="289" t="n"/>
      <c r="J401" s="289" t="n"/>
      <c r="K401" s="289" t="n"/>
      <c r="L401" s="352" t="n"/>
      <c r="M401" s="289" t="n"/>
      <c r="N401" s="352" t="n">
        <v>194</v>
      </c>
      <c r="O401" s="289" t="inlineStr">
        <is>
          <t>Current/Notice/Vacant Residents</t>
        </is>
      </c>
    </row>
    <row r="402" ht="28.5" customHeight="1" s="234">
      <c r="A402" s="289" t="n"/>
      <c r="B402" s="289" t="n"/>
      <c r="C402" s="289" t="n"/>
      <c r="D402" s="289" t="n"/>
      <c r="E402" s="289" t="n"/>
      <c r="F402" s="352" t="n"/>
      <c r="G402" s="352" t="n"/>
      <c r="H402" s="352" t="n"/>
      <c r="I402" s="289" t="n"/>
      <c r="J402" s="289" t="n"/>
      <c r="K402" s="289" t="n"/>
      <c r="L402" s="352" t="n"/>
      <c r="M402" s="289" t="n"/>
      <c r="N402" s="352" t="n">
        <v>-15</v>
      </c>
      <c r="O402" s="289" t="inlineStr">
        <is>
          <t>Current/Notice/Vacant Residents</t>
        </is>
      </c>
    </row>
    <row r="403" ht="28.5" customHeight="1" s="234">
      <c r="A403" s="289" t="n"/>
      <c r="B403" s="289" t="n"/>
      <c r="C403" s="289" t="n"/>
      <c r="D403" s="289" t="n"/>
      <c r="E403" s="289" t="n"/>
      <c r="F403" s="352" t="n"/>
      <c r="G403" s="352" t="n"/>
      <c r="H403" s="352" t="n"/>
      <c r="I403" s="289" t="n"/>
      <c r="J403" s="289" t="n"/>
      <c r="K403" s="289" t="n"/>
      <c r="L403" s="352" t="n"/>
      <c r="M403" s="289" t="n"/>
      <c r="N403" s="352" t="n">
        <v>-212</v>
      </c>
      <c r="O403" s="289" t="inlineStr">
        <is>
          <t>Current/Notice/Vacant Residents</t>
        </is>
      </c>
    </row>
    <row r="404" ht="28.5" customHeight="1" s="234">
      <c r="A404" s="289" t="n"/>
      <c r="B404" s="289" t="n"/>
      <c r="C404" s="289" t="n"/>
      <c r="D404" s="289" t="n"/>
      <c r="E404" s="289" t="n"/>
      <c r="F404" s="352" t="n"/>
      <c r="G404" s="352" t="n"/>
      <c r="H404" s="352" t="n"/>
      <c r="I404" s="289" t="n"/>
      <c r="J404" s="289" t="n"/>
      <c r="K404" s="289" t="n"/>
      <c r="L404" s="352" t="n"/>
      <c r="M404" s="289" t="n"/>
      <c r="N404" s="352" t="n">
        <v>-143</v>
      </c>
      <c r="O404" s="289" t="inlineStr">
        <is>
          <t>Current/Notice/Vacant Residents</t>
        </is>
      </c>
    </row>
    <row r="405" ht="28.5" customHeight="1" s="234">
      <c r="A405" s="289" t="n"/>
      <c r="B405" s="289" t="n"/>
      <c r="C405" s="289" t="n"/>
      <c r="D405" s="289" t="n"/>
      <c r="E405" s="289" t="n"/>
      <c r="F405" s="352" t="n"/>
      <c r="G405" s="352" t="n"/>
      <c r="H405" s="352" t="n"/>
      <c r="I405" s="289" t="n"/>
      <c r="J405" s="289" t="n"/>
      <c r="K405" s="289" t="n"/>
      <c r="L405" s="352" t="n"/>
      <c r="M405" s="289" t="n"/>
      <c r="N405" s="352" t="n">
        <v>-17</v>
      </c>
      <c r="O405" s="289" t="inlineStr">
        <is>
          <t>Current/Notice/Vacant Residents</t>
        </is>
      </c>
    </row>
    <row r="406">
      <c r="A406" s="289" t="n"/>
      <c r="B406" s="289" t="n"/>
      <c r="C406" s="289" t="n"/>
      <c r="D406" s="289" t="n"/>
      <c r="E406" s="289" t="n"/>
      <c r="F406" s="352" t="n"/>
      <c r="G406" s="352" t="n"/>
      <c r="H406" s="352" t="n"/>
      <c r="I406" s="289" t="n"/>
      <c r="J406" s="289" t="n"/>
      <c r="K406" s="289" t="n"/>
      <c r="L406" s="352" t="n"/>
      <c r="M406" s="289" t="n"/>
      <c r="N406" s="352" t="n">
        <v>1893</v>
      </c>
      <c r="O406" s="289" t="inlineStr">
        <is>
          <t>Current/Notice/Vacant Residents</t>
        </is>
      </c>
    </row>
    <row r="407" ht="28.5" customHeight="1" s="234">
      <c r="A407" s="289" t="n"/>
      <c r="B407" s="289" t="n"/>
      <c r="C407" s="289" t="n"/>
      <c r="D407" s="289" t="n"/>
      <c r="E407" s="289" t="n"/>
      <c r="F407" s="352" t="n"/>
      <c r="G407" s="352" t="n"/>
      <c r="H407" s="352" t="n"/>
      <c r="I407" s="289" t="n"/>
      <c r="J407" s="289" t="n"/>
      <c r="K407" s="289" t="n"/>
      <c r="L407" s="352" t="n"/>
      <c r="M407" s="289" t="n"/>
      <c r="N407" s="352" t="n">
        <v>99</v>
      </c>
      <c r="O407" s="289" t="inlineStr">
        <is>
          <t>Current/Notice/Vacant Residents</t>
        </is>
      </c>
    </row>
    <row r="408" ht="28.5" customHeight="1" s="234">
      <c r="A408" s="289" t="n"/>
      <c r="B408" s="289" t="n"/>
      <c r="C408" s="289" t="n"/>
      <c r="D408" s="289" t="n"/>
      <c r="E408" s="289" t="n"/>
      <c r="F408" s="352" t="n"/>
      <c r="G408" s="352" t="n"/>
      <c r="H408" s="352" t="n"/>
      <c r="I408" s="289" t="n"/>
      <c r="J408" s="289" t="n"/>
      <c r="K408" s="289" t="n"/>
      <c r="L408" s="352" t="n"/>
      <c r="M408" s="289" t="n"/>
      <c r="N408" s="352" t="n">
        <v>-222</v>
      </c>
      <c r="O408" s="289" t="inlineStr">
        <is>
          <t>Current/Notice/Vacant Residents</t>
        </is>
      </c>
    </row>
    <row r="409" ht="28.5" customHeight="1" s="234">
      <c r="A409" s="289" t="n"/>
      <c r="B409" s="289" t="n"/>
      <c r="C409" s="289" t="n"/>
      <c r="D409" s="289" t="n"/>
      <c r="E409" s="289" t="n"/>
      <c r="F409" s="352" t="n"/>
      <c r="G409" s="352" t="n"/>
      <c r="H409" s="352" t="n"/>
      <c r="I409" s="289" t="n"/>
      <c r="J409" s="289" t="n"/>
      <c r="K409" s="289" t="n"/>
      <c r="L409" s="352" t="n"/>
      <c r="M409" s="289" t="n"/>
      <c r="N409" s="352" t="n">
        <v>238</v>
      </c>
      <c r="O409" s="289" t="inlineStr">
        <is>
          <t>Current/Notice/Vacant Residents</t>
        </is>
      </c>
    </row>
    <row r="410" ht="28.5" customHeight="1" s="234">
      <c r="A410" s="289" t="n"/>
      <c r="B410" s="289" t="n"/>
      <c r="C410" s="289" t="n"/>
      <c r="D410" s="289" t="n"/>
      <c r="E410" s="289" t="n"/>
      <c r="F410" s="352" t="n"/>
      <c r="G410" s="352" t="n"/>
      <c r="H410" s="352" t="n"/>
      <c r="I410" s="289" t="n"/>
      <c r="J410" s="289" t="n"/>
      <c r="K410" s="289" t="n"/>
      <c r="L410" s="352" t="n"/>
      <c r="M410" s="289" t="n"/>
      <c r="N410" s="352" t="n">
        <v>44</v>
      </c>
      <c r="O410" s="289" t="inlineStr">
        <is>
          <t>Current/Notice/Vacant Residents</t>
        </is>
      </c>
    </row>
    <row r="411" ht="28.5" customHeight="1" s="234">
      <c r="A411" s="289" t="n"/>
      <c r="B411" s="289" t="n"/>
      <c r="C411" s="289" t="n"/>
      <c r="D411" s="289" t="n"/>
      <c r="E411" s="289" t="n"/>
      <c r="F411" s="352" t="n"/>
      <c r="G411" s="352" t="n"/>
      <c r="H411" s="352" t="n"/>
      <c r="I411" s="289" t="n"/>
      <c r="J411" s="289" t="n"/>
      <c r="K411" s="289" t="n"/>
      <c r="L411" s="352" t="n"/>
      <c r="M411" s="289" t="n"/>
      <c r="N411" s="352" t="n">
        <v>80</v>
      </c>
      <c r="O411" s="289" t="inlineStr">
        <is>
          <t>Current/Notice/Vacant Residents</t>
        </is>
      </c>
    </row>
    <row r="412">
      <c r="A412" s="289" t="n"/>
      <c r="B412" s="289" t="n"/>
      <c r="C412" s="289" t="n"/>
      <c r="D412" s="289" t="n"/>
      <c r="E412" s="289" t="n"/>
      <c r="F412" s="352" t="n"/>
      <c r="G412" s="352" t="n"/>
      <c r="H412" s="352" t="n"/>
      <c r="I412" s="289" t="n"/>
      <c r="J412" s="289" t="n"/>
      <c r="K412" s="289" t="n"/>
      <c r="L412" s="352" t="n"/>
      <c r="M412" s="289" t="n"/>
      <c r="N412" s="352" t="n">
        <v>2154</v>
      </c>
      <c r="O412" s="289" t="inlineStr">
        <is>
          <t>Current/Notice/Vacant Residents</t>
        </is>
      </c>
    </row>
    <row r="413" ht="28.5" customHeight="1" s="234">
      <c r="A413" s="289" t="n"/>
      <c r="B413" s="289" t="n"/>
      <c r="C413" s="289" t="n"/>
      <c r="D413" s="289" t="n"/>
      <c r="E413" s="289" t="n"/>
      <c r="F413" s="352" t="n"/>
      <c r="G413" s="352" t="n"/>
      <c r="H413" s="352" t="n"/>
      <c r="I413" s="289" t="n"/>
      <c r="J413" s="289" t="n"/>
      <c r="K413" s="289" t="n"/>
      <c r="L413" s="352" t="n"/>
      <c r="M413" s="289" t="n"/>
      <c r="N413" s="352" t="n">
        <v>91</v>
      </c>
      <c r="O413" s="289" t="inlineStr">
        <is>
          <t>Current/Notice/Vacant Residents</t>
        </is>
      </c>
    </row>
    <row r="414" ht="28.5" customHeight="1" s="234">
      <c r="A414" s="289" t="n"/>
      <c r="B414" s="289" t="n"/>
      <c r="C414" s="289" t="n"/>
      <c r="D414" s="289" t="n"/>
      <c r="E414" s="289" t="n"/>
      <c r="F414" s="352" t="n"/>
      <c r="G414" s="352" t="n"/>
      <c r="H414" s="352" t="n"/>
      <c r="I414" s="289" t="n"/>
      <c r="J414" s="289" t="n"/>
      <c r="K414" s="289" t="n"/>
      <c r="L414" s="352" t="n"/>
      <c r="M414" s="289" t="n"/>
      <c r="N414" s="352" t="n">
        <v>-8</v>
      </c>
      <c r="O414" s="289" t="inlineStr">
        <is>
          <t>Current/Notice/Vacant Residents</t>
        </is>
      </c>
    </row>
    <row r="415" ht="28.5" customHeight="1" s="234">
      <c r="A415" s="289" t="n"/>
      <c r="B415" s="289" t="n"/>
      <c r="C415" s="289" t="n"/>
      <c r="D415" s="289" t="n"/>
      <c r="E415" s="289" t="n"/>
      <c r="F415" s="352" t="n"/>
      <c r="G415" s="352" t="n"/>
      <c r="H415" s="352" t="n"/>
      <c r="I415" s="289" t="n"/>
      <c r="J415" s="289" t="n"/>
      <c r="K415" s="289" t="n"/>
      <c r="L415" s="352" t="n"/>
      <c r="M415" s="289" t="n"/>
      <c r="N415" s="352" t="n">
        <v>24</v>
      </c>
      <c r="O415" s="289" t="inlineStr">
        <is>
          <t>Current/Notice/Vacant Residents</t>
        </is>
      </c>
    </row>
    <row r="416" ht="28.5" customHeight="1" s="234">
      <c r="A416" s="289" t="n"/>
      <c r="B416" s="289" t="n"/>
      <c r="C416" s="289" t="n"/>
      <c r="D416" s="289" t="n"/>
      <c r="E416" s="289" t="n"/>
      <c r="F416" s="352" t="n"/>
      <c r="G416" s="352" t="n"/>
      <c r="H416" s="352" t="n"/>
      <c r="I416" s="289" t="n"/>
      <c r="J416" s="289" t="n"/>
      <c r="K416" s="289" t="n"/>
      <c r="L416" s="352" t="n"/>
      <c r="M416" s="289" t="n"/>
      <c r="N416" s="352" t="n">
        <v>89</v>
      </c>
      <c r="O416" s="289" t="inlineStr">
        <is>
          <t>Current/Notice/Vacant Residents</t>
        </is>
      </c>
    </row>
    <row r="417" ht="28.5" customHeight="1" s="234">
      <c r="A417" s="289" t="n"/>
      <c r="B417" s="289" t="n"/>
      <c r="C417" s="289" t="n"/>
      <c r="D417" s="289" t="n"/>
      <c r="E417" s="289" t="n"/>
      <c r="F417" s="352" t="n"/>
      <c r="G417" s="352" t="n"/>
      <c r="H417" s="352" t="n"/>
      <c r="I417" s="289" t="n"/>
      <c r="J417" s="289" t="n"/>
      <c r="K417" s="289" t="n"/>
      <c r="L417" s="352" t="n"/>
      <c r="M417" s="289" t="n"/>
      <c r="N417" s="352" t="n">
        <v>-28</v>
      </c>
      <c r="O417" s="289" t="inlineStr">
        <is>
          <t>Current/Notice/Vacant Residents</t>
        </is>
      </c>
    </row>
    <row r="418" ht="28.5" customHeight="1" s="234">
      <c r="A418" s="289" t="n"/>
      <c r="B418" s="289" t="n"/>
      <c r="C418" s="289" t="n"/>
      <c r="D418" s="289" t="n"/>
      <c r="E418" s="289" t="n"/>
      <c r="F418" s="352" t="n"/>
      <c r="G418" s="352" t="n"/>
      <c r="H418" s="352" t="n"/>
      <c r="I418" s="289" t="n"/>
      <c r="J418" s="289" t="n"/>
      <c r="K418" s="289" t="n"/>
      <c r="L418" s="352" t="n"/>
      <c r="M418" s="289" t="n"/>
      <c r="N418" s="352" t="n">
        <v>94</v>
      </c>
      <c r="O418" s="289" t="inlineStr">
        <is>
          <t>Current/Notice/Vacant Residents</t>
        </is>
      </c>
    </row>
    <row r="419" ht="28.5" customHeight="1" s="234">
      <c r="A419" s="289" t="n"/>
      <c r="B419" s="289" t="n"/>
      <c r="C419" s="289" t="n"/>
      <c r="D419" s="289" t="n"/>
      <c r="E419" s="289" t="n"/>
      <c r="F419" s="352" t="n"/>
      <c r="G419" s="352" t="n"/>
      <c r="H419" s="352" t="n"/>
      <c r="I419" s="289" t="n"/>
      <c r="J419" s="289" t="n"/>
      <c r="K419" s="289" t="n"/>
      <c r="L419" s="352" t="n"/>
      <c r="M419" s="289" t="n"/>
      <c r="N419" s="352" t="n">
        <v>-249</v>
      </c>
      <c r="O419" s="289" t="inlineStr">
        <is>
          <t>Current/Notice/Vacant Residents</t>
        </is>
      </c>
    </row>
    <row r="420" ht="28.5" customHeight="1" s="234">
      <c r="A420" s="289" t="n"/>
      <c r="B420" s="289" t="n"/>
      <c r="C420" s="289" t="n"/>
      <c r="D420" s="289" t="n"/>
      <c r="E420" s="289" t="n"/>
      <c r="F420" s="352" t="n"/>
      <c r="G420" s="352" t="n"/>
      <c r="H420" s="352" t="n"/>
      <c r="I420" s="289" t="n"/>
      <c r="J420" s="289" t="n"/>
      <c r="K420" s="289" t="n"/>
      <c r="L420" s="352" t="n"/>
      <c r="M420" s="289" t="n"/>
      <c r="N420" s="352" t="n">
        <v>-48</v>
      </c>
      <c r="O420" s="289" t="inlineStr">
        <is>
          <t>Current/Notice/Vacant Residents</t>
        </is>
      </c>
    </row>
    <row r="421" ht="28.5" customHeight="1" s="234">
      <c r="A421" s="289" t="n"/>
      <c r="B421" s="289" t="n"/>
      <c r="C421" s="289" t="n"/>
      <c r="D421" s="289" t="n"/>
      <c r="E421" s="289" t="n"/>
      <c r="F421" s="352" t="n"/>
      <c r="G421" s="352" t="n"/>
      <c r="H421" s="352" t="n"/>
      <c r="I421" s="289" t="n"/>
      <c r="J421" s="289" t="n"/>
      <c r="K421" s="289" t="n"/>
      <c r="L421" s="352" t="n"/>
      <c r="M421" s="289" t="n"/>
      <c r="N421" s="352" t="n">
        <v>77</v>
      </c>
      <c r="O421" s="289" t="inlineStr">
        <is>
          <t>Current/Notice/Vacant Residents</t>
        </is>
      </c>
    </row>
    <row r="422" ht="28.5" customHeight="1" s="234">
      <c r="A422" s="289" t="n"/>
      <c r="B422" s="289" t="n"/>
      <c r="C422" s="289" t="n"/>
      <c r="D422" s="289" t="n"/>
      <c r="E422" s="289" t="n"/>
      <c r="F422" s="352" t="n"/>
      <c r="G422" s="352" t="n"/>
      <c r="H422" s="352" t="n"/>
      <c r="I422" s="289" t="n"/>
      <c r="J422" s="289" t="n"/>
      <c r="K422" s="289" t="n"/>
      <c r="L422" s="352" t="n"/>
      <c r="M422" s="289" t="n"/>
      <c r="N422" s="352" t="n">
        <v>1</v>
      </c>
      <c r="O422" s="289" t="inlineStr">
        <is>
          <t>Current/Notice/Vacant Residents</t>
        </is>
      </c>
    </row>
    <row r="423" ht="28.5" customHeight="1" s="234">
      <c r="A423" s="289" t="n"/>
      <c r="B423" s="289" t="n"/>
      <c r="C423" s="289" t="n"/>
      <c r="D423" s="289" t="n"/>
      <c r="E423" s="289" t="n"/>
      <c r="F423" s="352" t="n"/>
      <c r="G423" s="352" t="n"/>
      <c r="H423" s="352" t="n"/>
      <c r="I423" s="289" t="n"/>
      <c r="J423" s="289" t="n"/>
      <c r="K423" s="289" t="n"/>
      <c r="L423" s="352" t="n"/>
      <c r="M423" s="289" t="n"/>
      <c r="N423" s="352" t="n">
        <v>101</v>
      </c>
      <c r="O423" s="289" t="inlineStr">
        <is>
          <t>Current/Notice/Vacant Residents</t>
        </is>
      </c>
    </row>
    <row r="424" ht="28.5" customHeight="1" s="234">
      <c r="A424" s="289" t="n"/>
      <c r="B424" s="289" t="n"/>
      <c r="C424" s="289" t="n"/>
      <c r="D424" s="289" t="n"/>
      <c r="E424" s="289" t="n"/>
      <c r="F424" s="352" t="n"/>
      <c r="G424" s="352" t="n"/>
      <c r="H424" s="352" t="n"/>
      <c r="I424" s="289" t="n"/>
      <c r="J424" s="289" t="n"/>
      <c r="K424" s="289" t="n"/>
      <c r="L424" s="352" t="n"/>
      <c r="M424" s="289" t="n"/>
      <c r="N424" s="352" t="n">
        <v>71</v>
      </c>
      <c r="O424" s="289" t="inlineStr">
        <is>
          <t>Current/Notice/Vacant Residents</t>
        </is>
      </c>
    </row>
    <row r="425" ht="28.5" customHeight="1" s="234">
      <c r="A425" s="289" t="n"/>
      <c r="B425" s="289" t="n"/>
      <c r="C425" s="289" t="n"/>
      <c r="D425" s="289" t="n"/>
      <c r="E425" s="289" t="n"/>
      <c r="F425" s="352" t="n"/>
      <c r="G425" s="352" t="n"/>
      <c r="H425" s="352" t="n"/>
      <c r="I425" s="289" t="n"/>
      <c r="J425" s="289" t="n"/>
      <c r="K425" s="289" t="n"/>
      <c r="L425" s="352" t="n"/>
      <c r="M425" s="289" t="n"/>
      <c r="N425" s="352" t="n">
        <v>-16</v>
      </c>
      <c r="O425" s="289" t="inlineStr">
        <is>
          <t>Current/Notice/Vacant Residents</t>
        </is>
      </c>
    </row>
    <row r="426" ht="28.5" customHeight="1" s="234">
      <c r="A426" s="289" t="n"/>
      <c r="B426" s="289" t="n"/>
      <c r="C426" s="289" t="n"/>
      <c r="D426" s="289" t="n"/>
      <c r="E426" s="289" t="n"/>
      <c r="F426" s="352" t="n"/>
      <c r="G426" s="352" t="n"/>
      <c r="H426" s="352" t="n"/>
      <c r="I426" s="289" t="n"/>
      <c r="J426" s="289" t="n"/>
      <c r="K426" s="289" t="n"/>
      <c r="L426" s="352" t="n"/>
      <c r="M426" s="289" t="n"/>
      <c r="N426" s="352" t="n">
        <v>140</v>
      </c>
      <c r="O426" s="289" t="inlineStr">
        <is>
          <t>Current/Notice/Vacant Residents</t>
        </is>
      </c>
    </row>
  </sheetData>
  <mergeCells count="1">
    <mergeCell ref="A1:F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0"/>
  <sheetViews>
    <sheetView showGridLines="0" zoomScale="90" workbookViewId="0">
      <selection activeCell="A1" sqref="A1:J1"/>
    </sheetView>
  </sheetViews>
  <sheetFormatPr baseColWidth="8" defaultRowHeight="14.25"/>
  <cols>
    <col width="13" customWidth="1" style="234" min="1" max="1"/>
    <col width="12" customWidth="1" style="234" min="2" max="5"/>
    <col width="16" customWidth="1" style="234" min="6" max="9"/>
    <col width="52" customWidth="1" style="234" min="10" max="10"/>
  </cols>
  <sheetData>
    <row r="1" ht="30" customHeight="1" s="234">
      <c r="A1" s="275" t="inlineStr">
        <is>
          <t>Unit Mix - Calculated from Rent Roll Detail</t>
        </is>
      </c>
    </row>
    <row r="2" ht="21.95" customFormat="1" customHeight="1" s="248">
      <c r="A2" s="354">
        <f>SUM(B6:B25)</f>
        <v>96</v>
      </c>
      <c r="B2" s="355">
        <f>IFERROR(SUMPRODUCT(B6:B25,E6:E25)/SUM(B6:B25),0)</f>
        <v>898.4458333333333</v>
      </c>
      <c r="C2" s="310">
        <f>IFERROR(SUMPRODUCT(B6:B25,F6:F25)/SUM(B6:B25),0)</f>
        <v>1136.8231250000001</v>
      </c>
      <c r="D2" s="310">
        <f>IFERROR(SUMPRODUCT(B6:B25,G6:G25)/SUM(B6:B25),0)</f>
        <v>1086.2172916666668</v>
      </c>
    </row>
    <row r="3" ht="12.95" customFormat="1" customHeight="1" s="248">
      <c r="A3" s="281" t="inlineStr">
        <is>
          <t>TOTAL UNITS</t>
        </is>
      </c>
      <c r="B3" s="262" t="inlineStr">
        <is>
          <t>BLENDED AVG SF</t>
        </is>
      </c>
      <c r="C3" s="262" t="inlineStr">
        <is>
          <t>BLENDED MKT RENT</t>
        </is>
      </c>
      <c r="D3" s="262" t="inlineStr">
        <is>
          <t>BLENDED IN-PLACE RENT</t>
        </is>
      </c>
    </row>
    <row r="4" ht="8.1" customHeight="1" s="234"/>
    <row r="5" ht="30" customHeight="1" s="234">
      <c r="A5" s="283" t="inlineStr">
        <is>
          <t>Unit Type</t>
        </is>
      </c>
      <c r="B5" s="283" t="inlineStr">
        <is>
          <t>Units</t>
        </is>
      </c>
      <c r="C5" s="283" t="inlineStr">
        <is>
          <t>Occupied</t>
        </is>
      </c>
      <c r="D5" s="283" t="inlineStr">
        <is>
          <t>Vacant</t>
        </is>
      </c>
      <c r="E5" s="283" t="inlineStr">
        <is>
          <t>Avg SqFt</t>
        </is>
      </c>
      <c r="F5" s="283" t="inlineStr">
        <is>
          <t>Avg Market Rent</t>
        </is>
      </c>
      <c r="G5" s="283" t="inlineStr">
        <is>
          <t>Avg In-place Rent</t>
        </is>
      </c>
      <c r="H5" s="283" t="inlineStr">
        <is>
          <t>Monthly Market Rent</t>
        </is>
      </c>
      <c r="I5" s="283" t="inlineStr">
        <is>
          <t>Monthly In-place Rent</t>
        </is>
      </c>
      <c r="J5" s="283" t="inlineStr">
        <is>
          <t>How/Why: grouped from unit-level rent roll rows by unit type.</t>
        </is>
      </c>
    </row>
    <row r="6" ht="28.5" customHeight="1" s="234">
      <c r="A6" s="347" t="inlineStr">
        <is>
          <t>A1</t>
        </is>
      </c>
      <c r="B6" s="356" t="n">
        <v>36</v>
      </c>
      <c r="C6" s="356" t="n">
        <v>32</v>
      </c>
      <c r="D6" s="356" t="n">
        <v>4</v>
      </c>
      <c r="E6" s="356" t="n">
        <v>713.3</v>
      </c>
      <c r="F6" s="303" t="n">
        <v>975.97</v>
      </c>
      <c r="G6" s="303" t="n">
        <v>936.5599999999999</v>
      </c>
      <c r="H6" s="303" t="n">
        <v>35135</v>
      </c>
      <c r="I6" s="303" t="n">
        <v>29970</v>
      </c>
      <c r="J6" s="347" t="inlineStr">
        <is>
          <t>Calculated by grouping unit-level rent roll rows by unit type.</t>
        </is>
      </c>
    </row>
    <row r="7" ht="28.5" customHeight="1" s="234">
      <c r="A7" s="347" t="inlineStr">
        <is>
          <t>B1</t>
        </is>
      </c>
      <c r="B7" s="356" t="n">
        <v>30</v>
      </c>
      <c r="C7" s="356" t="n">
        <v>30</v>
      </c>
      <c r="D7" s="356" t="n">
        <v>0</v>
      </c>
      <c r="E7" s="356" t="n">
        <v>925</v>
      </c>
      <c r="F7" s="303" t="n">
        <v>1152.67</v>
      </c>
      <c r="G7" s="303" t="n">
        <v>1110.67</v>
      </c>
      <c r="H7" s="303" t="n">
        <v>34580</v>
      </c>
      <c r="I7" s="303" t="n">
        <v>33320</v>
      </c>
      <c r="J7" s="347" t="inlineStr">
        <is>
          <t>Calculated by grouping unit-level rent roll rows by unit type.</t>
        </is>
      </c>
    </row>
    <row r="8" ht="28.5" customHeight="1" s="234">
      <c r="A8" s="347" t="inlineStr">
        <is>
          <t>B2</t>
        </is>
      </c>
      <c r="B8" s="356" t="n">
        <v>20</v>
      </c>
      <c r="C8" s="356" t="n">
        <v>18</v>
      </c>
      <c r="D8" s="356" t="n">
        <v>2</v>
      </c>
      <c r="E8" s="356" t="n">
        <v>1039.5</v>
      </c>
      <c r="F8" s="303" t="n">
        <v>1245.75</v>
      </c>
      <c r="G8" s="303" t="n">
        <v>1172.78</v>
      </c>
      <c r="H8" s="303" t="n">
        <v>24915</v>
      </c>
      <c r="I8" s="303" t="n">
        <v>21110</v>
      </c>
      <c r="J8" s="347" t="inlineStr">
        <is>
          <t>Calculated by grouping unit-level rent roll rows by unit type.</t>
        </is>
      </c>
    </row>
    <row r="9" ht="28.5" customHeight="1" s="234">
      <c r="A9" s="347" t="inlineStr">
        <is>
          <t>C1</t>
        </is>
      </c>
      <c r="B9" s="356" t="n">
        <v>10</v>
      </c>
      <c r="C9" s="356" t="n">
        <v>10</v>
      </c>
      <c r="D9" s="356" t="n">
        <v>0</v>
      </c>
      <c r="E9" s="356" t="n">
        <v>1203.2</v>
      </c>
      <c r="F9" s="303" t="n">
        <v>1450.5</v>
      </c>
      <c r="G9" s="303" t="n">
        <v>1378.5</v>
      </c>
      <c r="H9" s="303" t="n">
        <v>14505</v>
      </c>
      <c r="I9" s="303" t="n">
        <v>13785</v>
      </c>
      <c r="J9" s="347" t="inlineStr">
        <is>
          <t>Calculated by grouping unit-level rent roll rows by unit type.</t>
        </is>
      </c>
    </row>
    <row r="10" ht="28.5" customHeight="1" s="234">
      <c r="A10" s="347" t="n"/>
      <c r="B10" s="356" t="n"/>
      <c r="C10" s="356" t="n"/>
      <c r="D10" s="356" t="n"/>
      <c r="E10" s="356" t="n"/>
      <c r="F10" s="303" t="n"/>
      <c r="G10" s="303" t="n"/>
      <c r="H10" s="303" t="n"/>
      <c r="I10" s="303" t="n"/>
      <c r="J10" s="347" t="inlineStr">
        <is>
          <t>Calculated by grouping unit-level rent roll rows; highlights unit-type rent gaps.</t>
        </is>
      </c>
    </row>
    <row r="11" ht="28.5" customHeight="1" s="234">
      <c r="A11" s="347" t="n"/>
      <c r="B11" s="356" t="n"/>
      <c r="C11" s="356" t="n"/>
      <c r="D11" s="356" t="n"/>
      <c r="E11" s="356" t="n"/>
      <c r="F11" s="303" t="n"/>
      <c r="G11" s="303" t="n"/>
      <c r="H11" s="303" t="n"/>
      <c r="I11" s="303" t="n"/>
      <c r="J11" s="347" t="inlineStr">
        <is>
          <t>Calculated by grouping unit-level rent roll rows; highlights unit-type rent gaps.</t>
        </is>
      </c>
    </row>
    <row r="12" ht="28.5" customHeight="1" s="234">
      <c r="A12" s="347" t="n"/>
      <c r="B12" s="356" t="n"/>
      <c r="C12" s="356" t="n"/>
      <c r="D12" s="356" t="n"/>
      <c r="E12" s="356" t="n"/>
      <c r="F12" s="303" t="n"/>
      <c r="G12" s="303" t="n"/>
      <c r="H12" s="303" t="n"/>
      <c r="I12" s="303" t="n"/>
      <c r="J12" s="347" t="inlineStr">
        <is>
          <t>Calculated by grouping unit-level rent roll rows; highlights unit-type rent gaps.</t>
        </is>
      </c>
    </row>
    <row r="13" ht="28.5" customHeight="1" s="234">
      <c r="A13" s="347" t="n"/>
      <c r="B13" s="356" t="n"/>
      <c r="C13" s="356" t="n"/>
      <c r="D13" s="356" t="n"/>
      <c r="E13" s="356" t="n"/>
      <c r="F13" s="303" t="n"/>
      <c r="G13" s="303" t="n"/>
      <c r="H13" s="303" t="n"/>
      <c r="I13" s="303" t="n"/>
      <c r="J13" s="347" t="inlineStr">
        <is>
          <t>Calculated by grouping unit-level rent roll rows; highlights unit-type rent gaps.</t>
        </is>
      </c>
    </row>
    <row r="14" ht="28.5" customHeight="1" s="234">
      <c r="A14" s="347" t="n"/>
      <c r="B14" s="356" t="n"/>
      <c r="C14" s="356" t="n"/>
      <c r="D14" s="356" t="n"/>
      <c r="E14" s="356" t="n"/>
      <c r="F14" s="303" t="n"/>
      <c r="G14" s="303" t="n"/>
      <c r="H14" s="303" t="n"/>
      <c r="I14" s="303" t="n"/>
      <c r="J14" s="347" t="inlineStr">
        <is>
          <t>Calculated by grouping unit-level rent roll rows; highlights unit-type rent gaps.</t>
        </is>
      </c>
    </row>
    <row r="15" ht="28.5" customHeight="1" s="234">
      <c r="A15" s="347" t="n"/>
      <c r="B15" s="356" t="n"/>
      <c r="C15" s="356" t="n"/>
      <c r="D15" s="356" t="n"/>
      <c r="E15" s="356" t="n"/>
      <c r="F15" s="303" t="n"/>
      <c r="G15" s="303" t="n"/>
      <c r="H15" s="303" t="n"/>
      <c r="I15" s="303" t="n"/>
      <c r="J15" s="347" t="inlineStr">
        <is>
          <t>Calculated by grouping unit-level rent roll rows; highlights unit-type rent gaps.</t>
        </is>
      </c>
    </row>
    <row r="16" ht="28.5" customHeight="1" s="234">
      <c r="A16" s="347" t="n"/>
      <c r="B16" s="356" t="n"/>
      <c r="C16" s="356" t="n"/>
      <c r="D16" s="356" t="n"/>
      <c r="E16" s="356" t="n"/>
      <c r="F16" s="303" t="n"/>
      <c r="G16" s="303" t="n"/>
      <c r="H16" s="303" t="n"/>
      <c r="I16" s="303" t="n"/>
      <c r="J16" s="347" t="inlineStr">
        <is>
          <t>Calculated by grouping unit-level rent roll rows; highlights unit-type rent gaps.</t>
        </is>
      </c>
    </row>
    <row r="17" ht="28.5" customHeight="1" s="234">
      <c r="A17" s="347" t="n"/>
      <c r="B17" s="356" t="n"/>
      <c r="C17" s="356" t="n"/>
      <c r="D17" s="356" t="n"/>
      <c r="E17" s="356" t="n"/>
      <c r="F17" s="303" t="n"/>
      <c r="G17" s="303" t="n"/>
      <c r="H17" s="303" t="n"/>
      <c r="I17" s="303" t="n"/>
      <c r="J17" s="347" t="inlineStr">
        <is>
          <t>Calculated by grouping unit-level rent roll rows; highlights unit-type rent gaps.</t>
        </is>
      </c>
    </row>
    <row r="18" ht="28.5" customHeight="1" s="234">
      <c r="A18" s="347" t="n"/>
      <c r="B18" s="356" t="n"/>
      <c r="C18" s="356" t="n"/>
      <c r="D18" s="356" t="n"/>
      <c r="E18" s="356" t="n"/>
      <c r="F18" s="303" t="n"/>
      <c r="G18" s="303" t="n"/>
      <c r="H18" s="303" t="n"/>
      <c r="I18" s="303" t="n"/>
      <c r="J18" s="347" t="inlineStr">
        <is>
          <t>Calculated by grouping unit-level rent roll rows; highlights unit-type rent gaps.</t>
        </is>
      </c>
    </row>
    <row r="19" ht="28.5" customHeight="1" s="234">
      <c r="A19" s="347" t="n"/>
      <c r="B19" s="356" t="n"/>
      <c r="C19" s="356" t="n"/>
      <c r="D19" s="356" t="n"/>
      <c r="E19" s="356" t="n"/>
      <c r="F19" s="303" t="n"/>
      <c r="G19" s="303" t="n"/>
      <c r="H19" s="303" t="n"/>
      <c r="I19" s="303" t="n"/>
      <c r="J19" s="347" t="inlineStr">
        <is>
          <t>Calculated by grouping unit-level rent roll rows; highlights unit-type rent gaps.</t>
        </is>
      </c>
    </row>
    <row r="20" ht="28.5" customHeight="1" s="234">
      <c r="A20" s="347" t="n"/>
      <c r="B20" s="356" t="n"/>
      <c r="C20" s="356" t="n"/>
      <c r="D20" s="356" t="n"/>
      <c r="E20" s="356" t="n"/>
      <c r="F20" s="303" t="n"/>
      <c r="G20" s="303" t="n"/>
      <c r="H20" s="303" t="n"/>
      <c r="I20" s="303" t="n"/>
      <c r="J20" s="347" t="inlineStr">
        <is>
          <t>Calculated by grouping unit-level rent roll rows; highlights unit-type rent gaps.</t>
        </is>
      </c>
    </row>
  </sheetData>
  <mergeCells count="1">
    <mergeCell ref="A1:J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31"/>
  <sheetViews>
    <sheetView showGridLines="0" zoomScale="90" workbookViewId="0">
      <selection activeCell="A1" sqref="A1:E1"/>
    </sheetView>
  </sheetViews>
  <sheetFormatPr baseColWidth="8" defaultRowHeight="14.25"/>
  <cols>
    <col width="34" customWidth="1" style="234" min="1" max="1"/>
    <col width="18" customWidth="1" style="234" min="2" max="2"/>
    <col width="75.625" customWidth="1" style="234" min="3" max="3"/>
    <col width="40" customWidth="1" style="234" min="4" max="4"/>
    <col width="18" customWidth="1" style="234" min="5" max="5"/>
    <col width="22" customWidth="1" style="234" min="6" max="7"/>
  </cols>
  <sheetData>
    <row r="1" ht="30" customHeight="1" s="234">
      <c r="A1" s="275" t="inlineStr">
        <is>
          <t>Property Tax Forecast</t>
        </is>
      </c>
    </row>
    <row r="2" ht="21.95" customFormat="1" customHeight="1" s="248">
      <c r="A2" s="309">
        <f>B12</f>
        <v>165393</v>
      </c>
      <c r="B2" s="310">
        <f>B16</f>
        <v>183875.99637096774</v>
      </c>
      <c r="C2" s="310">
        <f>B16-B12</f>
        <v>18482.99637096774</v>
      </c>
      <c r="D2" s="357">
        <f>B9</f>
        <v>23.97</v>
      </c>
    </row>
    <row r="3" ht="12.95" customFormat="1" customHeight="1" s="248">
      <c r="A3" s="281" t="inlineStr">
        <is>
          <t>CURRENT TAX</t>
        </is>
      </c>
      <c r="B3" s="262" t="inlineStr">
        <is>
          <t>NEW TAX AFTER SALE</t>
        </is>
      </c>
      <c r="C3" s="262" t="inlineStr">
        <is>
          <t>ANNUAL INCREASE</t>
        </is>
      </c>
      <c r="D3" s="262" t="inlineStr">
        <is>
          <t>MILLAGE RATE</t>
        </is>
      </c>
    </row>
    <row r="4" ht="8.1" customHeight="1" s="234"/>
    <row r="5" ht="15" customHeight="1" s="234">
      <c r="A5" s="283" t="inlineStr">
        <is>
          <t>Metric</t>
        </is>
      </c>
      <c r="B5" s="283" t="inlineStr">
        <is>
          <t>Value</t>
        </is>
      </c>
      <c r="C5" s="283" t="inlineStr">
        <is>
          <t>Notes</t>
        </is>
      </c>
      <c r="D5" s="212" t="n"/>
      <c r="E5" s="212" t="n"/>
    </row>
    <row r="6" ht="28.5" customHeight="1" s="234">
      <c r="A6" s="358" t="inlineStr">
        <is>
          <t>County PIN</t>
        </is>
      </c>
      <c r="B6" s="358" t="inlineStr">
        <is>
          <t>R72 00811 0006, R72 00811 0007</t>
        </is>
      </c>
      <c r="C6" s="359" t="inlineStr">
        <is>
          <t>County / public tax record. Used to verify parcel.</t>
        </is>
      </c>
      <c r="D6" s="215" t="n"/>
      <c r="E6" s="215" t="n"/>
    </row>
    <row r="7" ht="28.5" customHeight="1" s="234">
      <c r="A7" s="358" t="inlineStr">
        <is>
          <t>Site Address</t>
        </is>
      </c>
      <c r="B7" s="358" t="inlineStr">
        <is>
          <t>4100 Millrace Pointe Drive, Dayton, OH 45415</t>
        </is>
      </c>
      <c r="C7" s="359" t="inlineStr">
        <is>
          <t>County / public tax record. Used to confirm subject property.</t>
        </is>
      </c>
      <c r="D7" s="215" t="n"/>
      <c r="E7" s="215" t="n"/>
    </row>
    <row r="8">
      <c r="A8" s="358" t="inlineStr">
        <is>
          <t>Current Taxable Value</t>
        </is>
      </c>
      <c r="B8" s="360" t="n">
        <v>6900000</v>
      </c>
      <c r="C8" s="359" t="inlineStr">
        <is>
          <t>County tax record / OM tax page. Current county taxable value.</t>
        </is>
      </c>
      <c r="D8" s="215" t="n"/>
      <c r="E8" s="215" t="n"/>
    </row>
    <row r="9" ht="28.5" customHeight="1" s="234">
      <c r="A9" s="358" t="inlineStr">
        <is>
          <t>Current Millage Rate</t>
        </is>
      </c>
      <c r="B9" s="361" t="n">
        <v>23.97</v>
      </c>
      <c r="C9" s="359" t="inlineStr">
        <is>
          <t>County tax record / OM tax page. Ad valorem tax = taxable value x millage / 1,000 where applicable.</t>
        </is>
      </c>
      <c r="D9" s="215" t="n"/>
      <c r="E9" s="215" t="n"/>
    </row>
    <row r="10">
      <c r="A10" s="358" t="inlineStr">
        <is>
          <t>Non-Ad Valorem Tax</t>
        </is>
      </c>
      <c r="B10" s="360" t="n">
        <v>0</v>
      </c>
      <c r="C10" s="359" t="inlineStr">
        <is>
          <t>County tax record / OM tax page. Added to ad valorem tax estimate.</t>
        </is>
      </c>
      <c r="D10" s="215" t="n"/>
      <c r="E10" s="215" t="n"/>
    </row>
    <row r="11">
      <c r="A11" s="347" t="inlineStr">
        <is>
          <t>Current Ad Valorem Tax Estimate</t>
        </is>
      </c>
      <c r="B11" s="303">
        <f>IF(OR($B$8&lt;=0,$B$9&lt;=0),$B$13,$B$8*$B$9/1000)</f>
        <v>165393</v>
      </c>
      <c r="C11" s="362" t="inlineStr">
        <is>
          <t>Calculated by model. Taxable value x millage / 1,000.</t>
        </is>
      </c>
      <c r="D11" s="215" t="n"/>
      <c r="E11" s="215" t="n"/>
    </row>
    <row r="12">
      <c r="A12" s="347" t="inlineStr">
        <is>
          <t>Current Total Tax Estimate</t>
        </is>
      </c>
      <c r="B12" s="303">
        <f>IF(OR($B$8&lt;=0,$B$9&lt;=0),$B$13,$B$11+$B$10)</f>
        <v>165393</v>
      </c>
      <c r="C12" s="362" t="inlineStr">
        <is>
          <t>Calculated by model. Ad valorem estimate + non-ad valorem.</t>
        </is>
      </c>
      <c r="D12" s="215" t="n"/>
      <c r="E12" s="215" t="n"/>
    </row>
    <row r="13" ht="28.5" customHeight="1" s="234">
      <c r="A13" s="358" t="inlineStr">
        <is>
          <t>T12 Property Tax Expense</t>
        </is>
      </c>
      <c r="B13" s="360" t="n">
        <v>165400</v>
      </c>
      <c r="C13" s="359" t="inlineStr">
        <is>
          <t>T12 actuals. Displayed to compare T12 to county/OM tax estimate.</t>
        </is>
      </c>
      <c r="D13" s="215" t="n"/>
      <c r="E13" s="215" t="n"/>
    </row>
    <row r="14" ht="28.5" customHeight="1" s="234">
      <c r="A14" s="347" t="inlineStr">
        <is>
          <t>Reassessment Basis After Sale</t>
        </is>
      </c>
      <c r="B14" s="303">
        <f>$B$8+('Debt &amp; Exit'!$B$6-$B$8)*$B$19</f>
        <v>7671088.70967742</v>
      </c>
      <c r="C14" s="362" t="inlineStr">
        <is>
          <t>Calculated by model. Current taxable value plus the share of the step-up to purchase price allowed by the reassessment policy in B19. At 100% this equals the purchase price; at 0% it stays at today's taxable value.</t>
        </is>
      </c>
      <c r="D14" s="215" t="n"/>
      <c r="E14" s="215" t="n"/>
    </row>
    <row r="15">
      <c r="A15" s="347" t="inlineStr">
        <is>
          <t>New Ad Valorem Tax After Sale</t>
        </is>
      </c>
      <c r="B15" s="303">
        <f>IF(OR($B$8&lt;=0,$B$9&lt;=0),$B$13,$B$14*$B$9/1000)</f>
        <v>183875.99637096774</v>
      </c>
      <c r="C15" s="362" t="inlineStr">
        <is>
          <t>Calculated by model. Reassessment basis x current millage / 1,000.</t>
        </is>
      </c>
      <c r="D15" s="215" t="n"/>
      <c r="E15" s="215" t="n"/>
    </row>
    <row r="16">
      <c r="A16" s="347" t="inlineStr">
        <is>
          <t>New Year 1 Total Tax</t>
        </is>
      </c>
      <c r="B16" s="303">
        <f>IF(OR($B$8&lt;=0,$B$9&lt;=0),$B$13,$B$15+$B$10)</f>
        <v>183875.99637096774</v>
      </c>
      <c r="C16" s="362" t="inlineStr">
        <is>
          <t>Calculated by model. New ad valorem tax + non-ad valorem tax. With no millage on file it falls back to T12 tax grown one year.</t>
        </is>
      </c>
      <c r="D16" s="215" t="n"/>
      <c r="E16" s="215" t="n"/>
    </row>
    <row r="17">
      <c r="A17" s="363" t="inlineStr">
        <is>
          <t>Annual Tax Growth</t>
        </is>
      </c>
      <c r="B17" s="364">
        <f>Inputs!$B$23</f>
        <v>0.03</v>
      </c>
      <c r="C17" s="365" t="inlineStr">
        <is>
          <t>Input link. Uses Inputs tax growth assumption.</t>
        </is>
      </c>
      <c r="D17" s="215" t="n"/>
      <c r="E17" s="215" t="n"/>
    </row>
    <row r="18" ht="156.75" customHeight="1" s="234">
      <c r="A18" s="289" t="inlineStr">
        <is>
          <t>Tax Rule Note</t>
        </is>
      </c>
      <c r="B18" s="289" t="inlineStr">
        <is>
          <t>Reassessment on sale varies by state - set B19 accordingly. Some states reset to market value on a change of ownership (e.g. Florida non-homestead commercial, FS 193.1555): use 100%. Others do not - New Jersey bars reassessing a property solely because it sold (Township of West Milford v. Van Decker), so assessments move only on a district-wide revaluation: use 0% for the base case, or 100% together with the EQUALIZED value and the EFFECTIVE (equalized) millage to model a revaluation landing at market. If taxable value/millage are unavailable, the model uses actual T12 property tax grown by the tax-growth assumption instead of assuming $0.</t>
        </is>
      </c>
      <c r="C18" s="291" t="inlineStr">
        <is>
          <t>Confirm the rule for THIS jurisdiction before relying on Year 1 tax. The automated tax lookup writes its finding into B26.</t>
        </is>
      </c>
      <c r="D18" s="215" t="n"/>
      <c r="E18" s="215" t="n"/>
    </row>
    <row r="19">
      <c r="A19" s="289" t="inlineStr">
        <is>
          <t>Reassessment on Sale (% of Price)</t>
        </is>
      </c>
      <c r="B19" s="366" t="n">
        <v>0.5</v>
      </c>
      <c r="C19" s="291" t="inlineStr">
        <is>
          <t>INPUT. 100% = assessment resets to the purchase price on sale. 0% = no reset; Year 1 tax holds at today's taxable value and only grows by the tax-growth assumption. Drives this tab AND every column of the Max Price Solver.</t>
        </is>
      </c>
    </row>
    <row r="20"/>
    <row r="21" ht="15" customHeight="1" s="234">
      <c r="A21" s="283" t="inlineStr">
        <is>
          <t>Tax Forecast</t>
        </is>
      </c>
      <c r="B21" s="283" t="inlineStr">
        <is>
          <t>Year 1</t>
        </is>
      </c>
      <c r="C21" s="283" t="inlineStr">
        <is>
          <t>Year 2</t>
        </is>
      </c>
      <c r="D21" s="283" t="inlineStr">
        <is>
          <t>Year 3</t>
        </is>
      </c>
      <c r="E21" s="283" t="inlineStr">
        <is>
          <t>Year 4</t>
        </is>
      </c>
      <c r="F21" s="283" t="inlineStr">
        <is>
          <t>Year 5</t>
        </is>
      </c>
      <c r="G21" s="283" t="inlineStr">
        <is>
          <t>Year 6</t>
        </is>
      </c>
      <c r="H21" s="283" t="inlineStr">
        <is>
          <t>Year 7</t>
        </is>
      </c>
      <c r="I21" s="283" t="inlineStr">
        <is>
          <t>Year 8</t>
        </is>
      </c>
      <c r="J21" t="inlineStr">
        <is>
          <t>How/Why</t>
        </is>
      </c>
    </row>
    <row r="22" ht="57" customHeight="1" s="234">
      <c r="A22" s="347" t="inlineStr">
        <is>
          <t>Property Tax</t>
        </is>
      </c>
      <c r="B22" s="303">
        <f>$B$16</f>
        <v>183875.99637096774</v>
      </c>
      <c r="C22" s="303">
        <f>B22*(1+$B$17)</f>
        <v>189392.27626209677</v>
      </c>
      <c r="D22" s="303">
        <f>C22*(1+$B$17)</f>
        <v>195074.04454995968</v>
      </c>
      <c r="E22" s="303">
        <f>D22*(1+$B$17)</f>
        <v>200926.26588645848</v>
      </c>
      <c r="F22" s="303">
        <f>E22*(1+$B$17)</f>
        <v>206954.05386305225</v>
      </c>
      <c r="G22" s="303">
        <f>F22*(1+$B$17)</f>
        <v>213162.67547894383</v>
      </c>
      <c r="H22" s="303">
        <f>G22*(1+$B$17)</f>
        <v>219557.55574331214</v>
      </c>
      <c r="I22" s="303">
        <f>H22*(1+$B$17)</f>
        <v>226144.28241561152</v>
      </c>
      <c r="J22" t="inlineStr">
        <is>
          <t>Year 1 applies the reassessment policy in B19 to the purchase price, then grows by tax growth through Year 8. With no taxable value or millage on file it falls back to T12 tax grown forward.</t>
        </is>
      </c>
    </row>
    <row r="23"/>
    <row r="24"/>
    <row r="25" ht="71.25" customHeight="1" s="234">
      <c r="A25" s="289" t="inlineStr">
        <is>
          <t>County source URL</t>
        </is>
      </c>
      <c r="B25" s="289" t="inlineStr">
        <is>
          <t>https://example.com/demo/montgomery-county-millage</t>
        </is>
      </c>
      <c r="C25" s="289" t="n"/>
      <c r="D25" s="289" t="n"/>
      <c r="E25" s="289" t="n"/>
      <c r="F25" s="248" t="n"/>
      <c r="G25" s="248" t="n"/>
    </row>
    <row r="26" ht="42.75" customHeight="1" s="234">
      <c r="A26" s="289" t="inlineStr">
        <is>
          <t>Tax rule/source URL</t>
        </is>
      </c>
      <c r="B26" s="289" t="inlineStr">
        <is>
          <t>Ohio re-appraises on a county cycle and a sale alone does not reset the assessment, but a school district can file a complaint citing the sale price; modeled as half the step-up to the purchase price. Values here are the appraised (market) value with the effective rate on it.</t>
        </is>
      </c>
      <c r="C26" s="289" t="n"/>
      <c r="D26" s="289" t="n"/>
      <c r="E26" s="289" t="n"/>
      <c r="F26" s="248" t="n"/>
      <c r="G26" s="248" t="n"/>
    </row>
    <row r="27"/>
    <row r="28"/>
    <row r="29"/>
    <row r="30"/>
    <row r="31"/>
  </sheetData>
  <mergeCells count="1">
    <mergeCell ref="A1:E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O140"/>
  <sheetViews>
    <sheetView showGridLines="0" zoomScale="90" workbookViewId="0">
      <selection activeCell="A1" sqref="A1:D1"/>
    </sheetView>
  </sheetViews>
  <sheetFormatPr baseColWidth="8" defaultRowHeight="14.25"/>
  <cols>
    <col width="44" customWidth="1" style="234" min="1" max="1"/>
    <col width="16" customWidth="1" style="234" min="2" max="4"/>
    <col width="15" customWidth="1" style="234" min="5" max="7"/>
  </cols>
  <sheetData>
    <row r="1" ht="21.95" customHeight="1" s="234">
      <c r="A1" s="367" t="inlineStr">
        <is>
          <t>Renovation Pace - Monthly Ramp with Rent Downtime</t>
        </is>
      </c>
      <c r="E1" s="368" t="n"/>
      <c r="F1" s="368" t="n"/>
      <c r="G1" s="368" t="n"/>
      <c r="H1" s="248" t="n"/>
      <c r="I1" s="248" t="n"/>
      <c r="J1" s="248" t="n"/>
      <c r="K1" s="248" t="n"/>
      <c r="L1" s="248" t="n"/>
      <c r="M1" s="248" t="n"/>
      <c r="N1" s="248" t="n"/>
      <c r="O1" s="248" t="n"/>
    </row>
    <row r="2" ht="21.95" customFormat="1" customHeight="1" s="248">
      <c r="A2" s="369">
        <f>Inputs!$B$30</f>
        <v>72</v>
      </c>
      <c r="B2" s="278">
        <f>Inputs!$B$45</f>
        <v>6</v>
      </c>
      <c r="C2" s="370">
        <f>IFERROR(B33,0)</f>
        <v>0</v>
      </c>
      <c r="D2" s="370">
        <f>B38</f>
        <v>0</v>
      </c>
      <c r="E2" s="368" t="n"/>
      <c r="F2" s="368" t="n"/>
      <c r="G2" s="368" t="n"/>
    </row>
    <row r="3" ht="12.95" customFormat="1" customHeight="1" s="248">
      <c r="A3" s="371" t="inlineStr">
        <is>
          <t>UNITS TO RENOVATE</t>
        </is>
      </c>
      <c r="B3" s="262" t="inlineStr">
        <is>
          <t>PACE (UNITS/MO)</t>
        </is>
      </c>
      <c r="C3" s="262" t="inlineStr">
        <is>
          <t>YEAR 1 NET IMPACT</t>
        </is>
      </c>
      <c r="D3" s="262" t="inlineStr">
        <is>
          <t>STABILIZED PREMIUM/YR</t>
        </is>
      </c>
      <c r="E3" s="368" t="n"/>
      <c r="F3" s="368" t="n"/>
      <c r="G3" s="368" t="n"/>
    </row>
    <row r="4" ht="32" customHeight="1" s="234">
      <c r="A4" s="372" t="str">
        <f>IF($A$2=0,"No renovation program is modeled: Value-Add Units is 0 on the Inputs tab, so every month below is zero. Enter the number of units to renovate (and the pace) on Inputs to see the schedule.","Units completed monthly starting at the online start month. Renovations happen at lease turnover; each renovated unit is charged the downtime months of lost rent from Inputs.")</f>
        <v>Units completed monthly starting at the online start month. Renovations happen at lease turnover; each renovated unit is charged the downtime months of lost rent from Inputs.</v>
      </c>
      <c r="E4" s="82" t="n"/>
      <c r="F4" s="82" t="n"/>
      <c r="G4" s="82" t="n"/>
      <c r="H4" s="248" t="n"/>
      <c r="I4" s="248" t="n"/>
      <c r="J4" s="248" t="n"/>
      <c r="K4" s="248" t="n"/>
      <c r="L4" s="248" t="n"/>
      <c r="M4" s="248" t="n"/>
      <c r="N4" s="248" t="n"/>
      <c r="O4" s="248" t="n"/>
    </row>
    <row r="5" ht="44" customHeight="1" s="234">
      <c r="A5" s="373" t="inlineStr">
        <is>
          <t>Month</t>
        </is>
      </c>
      <c r="B5" s="373" t="inlineStr">
        <is>
          <t>Units Completed This Month</t>
        </is>
      </c>
      <c r="C5" s="373" t="inlineStr">
        <is>
          <t>Units Under Renovation</t>
        </is>
      </c>
      <c r="D5" s="373" t="inlineStr">
        <is>
          <t>Cumulative Units Online</t>
        </is>
      </c>
      <c r="E5" s="373" t="inlineStr">
        <is>
          <t>Monthly Rent Premium</t>
        </is>
      </c>
      <c r="F5" s="373" t="inlineStr">
        <is>
          <t>Rent Downtime (downtime months x avg rent)</t>
        </is>
      </c>
      <c r="G5" s="373" t="inlineStr">
        <is>
          <t>Net Monthly Impact</t>
        </is>
      </c>
      <c r="H5" s="29" t="n"/>
      <c r="I5" s="29" t="n"/>
      <c r="J5" s="29" t="n"/>
      <c r="K5" s="29" t="n"/>
      <c r="L5" s="29" t="n"/>
      <c r="M5" s="29" t="n"/>
      <c r="N5" s="29" t="n"/>
      <c r="O5" s="29" t="n"/>
    </row>
    <row r="6" ht="18" customHeight="1" s="234">
      <c r="A6" s="374" t="n">
        <v>1</v>
      </c>
      <c r="B6" s="375">
        <f>IF(A6&lt;Inputs!$B$33,0,MAX(0,MIN(Inputs!$B$45,Inputs!$B$30-SUM($B$5:B5))))</f>
        <v>0</v>
      </c>
      <c r="C6" s="375">
        <f>SUMIFS($B$6:$B$101,$A$6:$A$101,"&gt;"&amp;A6,$A$6:$A$101,"&lt;="&amp;A6+Inputs!$B$32)</f>
        <v>0</v>
      </c>
      <c r="D6" s="376">
        <f>SUM($B$6:B6)</f>
        <v>0</v>
      </c>
      <c r="E6" s="377">
        <f>D6*Inputs!$B$31</f>
        <v>0</v>
      </c>
      <c r="F6" s="377">
        <f>IFERROR(B6*('Rent Roll'!$B$16/Inputs!$B$13)*Inputs!$B$32,0)</f>
        <v>0</v>
      </c>
      <c r="G6" s="377">
        <f>E6-F6</f>
        <v>0</v>
      </c>
      <c r="H6" s="30" t="n"/>
      <c r="I6" s="30" t="n"/>
      <c r="J6" s="30" t="n"/>
      <c r="K6" s="30" t="n"/>
      <c r="L6" s="30" t="n"/>
      <c r="M6" s="30" t="n"/>
      <c r="N6" s="30" t="n"/>
      <c r="O6" s="248" t="n"/>
    </row>
    <row r="7" ht="18" customHeight="1" s="234">
      <c r="A7" s="374" t="n">
        <v>2</v>
      </c>
      <c r="B7" s="375">
        <f>IF(A7&lt;Inputs!$B$33,0,MAX(0,MIN(Inputs!$B$45,Inputs!$B$30-SUM($B$5:B6))))</f>
        <v>0</v>
      </c>
      <c r="C7" s="375">
        <f>SUMIFS($B$6:$B$101,$A$6:$A$101,"&gt;"&amp;A7,$A$6:$A$101,"&lt;="&amp;A7+Inputs!$B$32)</f>
        <v>6</v>
      </c>
      <c r="D7" s="375">
        <f>SUM($B$6:B7)</f>
        <v>0</v>
      </c>
      <c r="E7" s="377">
        <f>D7*Inputs!$B$31</f>
        <v>0</v>
      </c>
      <c r="F7" s="377">
        <f>IFERROR(B7*('Rent Roll'!$B$16/Inputs!$B$13)*Inputs!$B$32,0)</f>
        <v>0</v>
      </c>
      <c r="G7" s="377">
        <f>E7-F7</f>
        <v>0</v>
      </c>
      <c r="H7" s="30" t="n"/>
      <c r="I7" s="30" t="n"/>
      <c r="J7" s="30" t="n"/>
      <c r="K7" s="30" t="n"/>
      <c r="L7" s="30" t="n"/>
      <c r="M7" s="30" t="n"/>
      <c r="N7" s="30" t="n"/>
      <c r="O7" s="248" t="n"/>
    </row>
    <row r="8" ht="18" customHeight="1" s="234">
      <c r="A8" s="374" t="n">
        <v>3</v>
      </c>
      <c r="B8" s="375">
        <f>IF(A8&lt;Inputs!$B$33,0,MAX(0,MIN(Inputs!$B$45,Inputs!$B$30-SUM($B$5:B7))))</f>
        <v>6</v>
      </c>
      <c r="C8" s="375">
        <f>SUMIFS($B$6:$B$101,$A$6:$A$101,"&gt;"&amp;A8,$A$6:$A$101,"&lt;="&amp;A8+Inputs!$B$32)</f>
        <v>6</v>
      </c>
      <c r="D8" s="375">
        <f>SUM($B$6:B8)</f>
        <v>6</v>
      </c>
      <c r="E8" s="377">
        <f>D8*Inputs!$B$31</f>
        <v>1020</v>
      </c>
      <c r="F8" s="377">
        <f>IFERROR(B8*('Rent Roll'!$B$16/Inputs!$B$13)*Inputs!$B$32,0)</f>
        <v>6136.5625</v>
      </c>
      <c r="G8" s="377">
        <f>E8-F8</f>
        <v>-5116.5625</v>
      </c>
      <c r="H8" s="30" t="n"/>
      <c r="I8" s="30" t="n"/>
      <c r="J8" s="30" t="n"/>
      <c r="K8" s="30" t="n"/>
      <c r="L8" s="30" t="n"/>
      <c r="M8" s="30" t="n"/>
      <c r="N8" s="30" t="n"/>
      <c r="O8" s="248" t="n"/>
    </row>
    <row r="9" ht="18" customHeight="1" s="234">
      <c r="A9" s="374" t="n">
        <v>4</v>
      </c>
      <c r="B9" s="375">
        <f>IF(A9&lt;Inputs!$B$33,0,MAX(0,MIN(Inputs!$B$45,Inputs!$B$30-SUM($B$5:B8))))</f>
        <v>6</v>
      </c>
      <c r="C9" s="375">
        <f>SUMIFS($B$6:$B$101,$A$6:$A$101,"&gt;"&amp;A9,$A$6:$A$101,"&lt;="&amp;A9+Inputs!$B$32)</f>
        <v>6</v>
      </c>
      <c r="D9" s="375">
        <f>SUM($B$6:B9)</f>
        <v>12</v>
      </c>
      <c r="E9" s="377">
        <f>D9*Inputs!$B$31</f>
        <v>2040</v>
      </c>
      <c r="F9" s="377">
        <f>IFERROR(B9*('Rent Roll'!$B$16/Inputs!$B$13)*Inputs!$B$32,0)</f>
        <v>6136.5625</v>
      </c>
      <c r="G9" s="377">
        <f>E9-F9</f>
        <v>-4096.5625</v>
      </c>
      <c r="H9" s="31" t="n"/>
      <c r="I9" s="31" t="n"/>
      <c r="J9" s="31" t="n"/>
      <c r="K9" s="31" t="n"/>
      <c r="L9" s="31" t="n"/>
      <c r="M9" s="31" t="n"/>
      <c r="N9" s="31" t="n"/>
      <c r="O9" s="248" t="n"/>
    </row>
    <row r="10" ht="18" customHeight="1" s="234">
      <c r="A10" s="374" t="n">
        <v>5</v>
      </c>
      <c r="B10" s="375">
        <f>IF(A10&lt;Inputs!$B$33,0,MAX(0,MIN(Inputs!$B$45,Inputs!$B$30-SUM($B$5:B9))))</f>
        <v>6</v>
      </c>
      <c r="C10" s="375">
        <f>SUMIFS($B$6:$B$101,$A$6:$A$101,"&gt;"&amp;A10,$A$6:$A$101,"&lt;="&amp;A10+Inputs!$B$32)</f>
        <v>6</v>
      </c>
      <c r="D10" s="375">
        <f>SUM($B$6:B10)</f>
        <v>18</v>
      </c>
      <c r="E10" s="377">
        <f>D10*Inputs!$B$31</f>
        <v>3060</v>
      </c>
      <c r="F10" s="377">
        <f>IFERROR(B10*('Rent Roll'!$B$16/Inputs!$B$13)*Inputs!$B$32,0)</f>
        <v>6136.5625</v>
      </c>
      <c r="G10" s="377">
        <f>E10-F10</f>
        <v>-3076.5625</v>
      </c>
      <c r="H10" s="248" t="n"/>
      <c r="I10" s="248" t="n"/>
      <c r="J10" s="248" t="n"/>
      <c r="K10" s="248" t="n"/>
      <c r="L10" s="248" t="n"/>
      <c r="M10" s="248" t="n"/>
      <c r="N10" s="248" t="n"/>
      <c r="O10" s="248" t="n"/>
    </row>
    <row r="11" ht="18" customHeight="1" s="234">
      <c r="A11" s="374" t="n">
        <v>6</v>
      </c>
      <c r="B11" s="375">
        <f>IF(A11&lt;Inputs!$B$33,0,MAX(0,MIN(Inputs!$B$45,Inputs!$B$30-SUM($B$5:B10))))</f>
        <v>6</v>
      </c>
      <c r="C11" s="375">
        <f>SUMIFS($B$6:$B$101,$A$6:$A$101,"&gt;"&amp;A11,$A$6:$A$101,"&lt;="&amp;A11+Inputs!$B$32)</f>
        <v>6</v>
      </c>
      <c r="D11" s="375">
        <f>SUM($B$6:B11)</f>
        <v>24</v>
      </c>
      <c r="E11" s="377">
        <f>D11*Inputs!$B$31</f>
        <v>4080</v>
      </c>
      <c r="F11" s="377">
        <f>IFERROR(B11*('Rent Roll'!$B$16/Inputs!$B$13)*Inputs!$B$32,0)</f>
        <v>6136.5625</v>
      </c>
      <c r="G11" s="377">
        <f>E11-F11</f>
        <v>-2056.5625</v>
      </c>
      <c r="H11" s="248" t="n"/>
      <c r="I11" s="248" t="n"/>
      <c r="J11" s="248" t="n"/>
      <c r="K11" s="248" t="n"/>
      <c r="L11" s="248" t="n"/>
      <c r="M11" s="248" t="n"/>
      <c r="N11" s="248" t="n"/>
      <c r="O11" s="248" t="n"/>
    </row>
    <row r="12" ht="18" customHeight="1" s="234">
      <c r="A12" s="374" t="n">
        <v>7</v>
      </c>
      <c r="B12" s="375">
        <f>IF(A12&lt;Inputs!$B$33,0,MAX(0,MIN(Inputs!$B$45,Inputs!$B$30-SUM($B$5:B11))))</f>
        <v>6</v>
      </c>
      <c r="C12" s="375">
        <f>SUMIFS($B$6:$B$101,$A$6:$A$101,"&gt;"&amp;A12,$A$6:$A$101,"&lt;="&amp;A12+Inputs!$B$32)</f>
        <v>6</v>
      </c>
      <c r="D12" s="375">
        <f>SUM($B$6:B12)</f>
        <v>30</v>
      </c>
      <c r="E12" s="377">
        <f>D12*Inputs!$B$31</f>
        <v>5100</v>
      </c>
      <c r="F12" s="377">
        <f>IFERROR(B12*('Rent Roll'!$B$16/Inputs!$B$13)*Inputs!$B$32,0)</f>
        <v>6136.5625</v>
      </c>
      <c r="G12" s="377">
        <f>E12-F12</f>
        <v>-1036.5625</v>
      </c>
      <c r="H12" s="248" t="n"/>
      <c r="I12" s="248" t="n"/>
      <c r="J12" s="248" t="n"/>
      <c r="K12" s="248" t="n"/>
      <c r="L12" s="248" t="n"/>
      <c r="M12" s="248" t="n"/>
      <c r="N12" s="248" t="n"/>
      <c r="O12" s="248" t="n"/>
    </row>
    <row r="13" ht="18" customHeight="1" s="234">
      <c r="A13" s="374" t="n">
        <v>8</v>
      </c>
      <c r="B13" s="375">
        <f>IF(A13&lt;Inputs!$B$33,0,MAX(0,MIN(Inputs!$B$45,Inputs!$B$30-SUM($B$5:B12))))</f>
        <v>6</v>
      </c>
      <c r="C13" s="375">
        <f>SUMIFS($B$6:$B$101,$A$6:$A$101,"&gt;"&amp;A13,$A$6:$A$101,"&lt;="&amp;A13+Inputs!$B$32)</f>
        <v>6</v>
      </c>
      <c r="D13" s="375">
        <f>SUM($B$6:B13)</f>
        <v>36</v>
      </c>
      <c r="E13" s="377">
        <f>D13*Inputs!$B$31</f>
        <v>6120</v>
      </c>
      <c r="F13" s="377">
        <f>IFERROR(B13*('Rent Roll'!$B$16/Inputs!$B$13)*Inputs!$B$32,0)</f>
        <v>6136.5625</v>
      </c>
      <c r="G13" s="377">
        <f>E13-F13</f>
        <v>-16.5625</v>
      </c>
      <c r="H13" s="248" t="n"/>
      <c r="I13" s="248" t="n"/>
      <c r="J13" s="248" t="n"/>
      <c r="K13" s="248" t="n"/>
      <c r="L13" s="248" t="n"/>
      <c r="M13" s="248" t="n"/>
      <c r="N13" s="248" t="n"/>
      <c r="O13" s="248" t="n"/>
    </row>
    <row r="14" ht="18" customHeight="1" s="234">
      <c r="A14" s="374" t="n">
        <v>9</v>
      </c>
      <c r="B14" s="375">
        <f>IF(A14&lt;Inputs!$B$33,0,MAX(0,MIN(Inputs!$B$45,Inputs!$B$30-SUM($B$5:B13))))</f>
        <v>6</v>
      </c>
      <c r="C14" s="375">
        <f>SUMIFS($B$6:$B$101,$A$6:$A$101,"&gt;"&amp;A14,$A$6:$A$101,"&lt;="&amp;A14+Inputs!$B$32)</f>
        <v>6</v>
      </c>
      <c r="D14" s="375">
        <f>SUM($B$6:B14)</f>
        <v>42</v>
      </c>
      <c r="E14" s="377">
        <f>D14*Inputs!$B$31</f>
        <v>7140</v>
      </c>
      <c r="F14" s="377">
        <f>IFERROR(B14*('Rent Roll'!$B$16/Inputs!$B$13)*Inputs!$B$32,0)</f>
        <v>6136.5625</v>
      </c>
      <c r="G14" s="377">
        <f>E14-F14</f>
        <v>1003.4375</v>
      </c>
      <c r="H14" s="248" t="n"/>
      <c r="I14" s="248" t="n"/>
      <c r="J14" s="248" t="n"/>
      <c r="K14" s="248" t="n"/>
      <c r="L14" s="248" t="n"/>
      <c r="M14" s="248" t="n"/>
      <c r="N14" s="248" t="n"/>
      <c r="O14" s="248" t="n"/>
    </row>
    <row r="15" ht="18" customHeight="1" s="234">
      <c r="A15" s="374" t="n">
        <v>10</v>
      </c>
      <c r="B15" s="375">
        <f>IF(A15&lt;Inputs!$B$33,0,MAX(0,MIN(Inputs!$B$45,Inputs!$B$30-SUM($B$5:B14))))</f>
        <v>6</v>
      </c>
      <c r="C15" s="375">
        <f>SUMIFS($B$6:$B$101,$A$6:$A$101,"&gt;"&amp;A15,$A$6:$A$101,"&lt;="&amp;A15+Inputs!$B$32)</f>
        <v>6</v>
      </c>
      <c r="D15" s="375">
        <f>SUM($B$6:B15)</f>
        <v>48</v>
      </c>
      <c r="E15" s="377">
        <f>D15*Inputs!$B$31</f>
        <v>8160</v>
      </c>
      <c r="F15" s="377">
        <f>IFERROR(B15*('Rent Roll'!$B$16/Inputs!$B$13)*Inputs!$B$32,0)</f>
        <v>6136.5625</v>
      </c>
      <c r="G15" s="377">
        <f>E15-F15</f>
        <v>2023.4375</v>
      </c>
      <c r="H15" s="248" t="n"/>
      <c r="I15" s="248" t="n"/>
      <c r="J15" s="248" t="n"/>
      <c r="K15" s="248" t="n"/>
      <c r="L15" s="248" t="n"/>
      <c r="M15" s="248" t="n"/>
      <c r="N15" s="248" t="n"/>
      <c r="O15" s="248" t="n"/>
    </row>
    <row r="16" ht="18" customHeight="1" s="234">
      <c r="A16" s="374" t="n">
        <v>11</v>
      </c>
      <c r="B16" s="375">
        <f>IF(A16&lt;Inputs!$B$33,0,MAX(0,MIN(Inputs!$B$45,Inputs!$B$30-SUM($B$5:B15))))</f>
        <v>6</v>
      </c>
      <c r="C16" s="375">
        <f>SUMIFS($B$6:$B$101,$A$6:$A$101,"&gt;"&amp;A16,$A$6:$A$101,"&lt;="&amp;A16+Inputs!$B$32)</f>
        <v>6</v>
      </c>
      <c r="D16" s="375">
        <f>SUM($B$6:B16)</f>
        <v>54</v>
      </c>
      <c r="E16" s="377">
        <f>D16*Inputs!$B$31</f>
        <v>9180</v>
      </c>
      <c r="F16" s="377">
        <f>IFERROR(B16*('Rent Roll'!$B$16/Inputs!$B$13)*Inputs!$B$32,0)</f>
        <v>6136.5625</v>
      </c>
      <c r="G16" s="377">
        <f>E16-F16</f>
        <v>3043.4375</v>
      </c>
      <c r="H16" s="248" t="n"/>
      <c r="I16" s="248" t="n"/>
      <c r="J16" s="248" t="n"/>
      <c r="K16" s="248" t="n"/>
      <c r="L16" s="248" t="n"/>
      <c r="M16" s="248" t="n"/>
      <c r="N16" s="248" t="n"/>
      <c r="O16" s="248" t="n"/>
    </row>
    <row r="17" ht="18" customHeight="1" s="234">
      <c r="A17" s="374" t="n">
        <v>12</v>
      </c>
      <c r="B17" s="375">
        <f>IF(A17&lt;Inputs!$B$33,0,MAX(0,MIN(Inputs!$B$45,Inputs!$B$30-SUM($B$5:B16))))</f>
        <v>6</v>
      </c>
      <c r="C17" s="375">
        <f>SUMIFS($B$6:$B$101,$A$6:$A$101,"&gt;"&amp;A17,$A$6:$A$101,"&lt;="&amp;A17+Inputs!$B$32)</f>
        <v>6</v>
      </c>
      <c r="D17" s="375">
        <f>SUM($B$6:B17)</f>
        <v>60</v>
      </c>
      <c r="E17" s="377">
        <f>D17*Inputs!$B$31</f>
        <v>10200</v>
      </c>
      <c r="F17" s="377">
        <f>IFERROR(B17*('Rent Roll'!$B$16/Inputs!$B$13)*Inputs!$B$32,0)</f>
        <v>6136.5625</v>
      </c>
      <c r="G17" s="377">
        <f>E17-F17</f>
        <v>4063.4375</v>
      </c>
      <c r="H17" s="248" t="n"/>
      <c r="I17" s="248" t="n"/>
      <c r="J17" s="248" t="n"/>
      <c r="K17" s="248" t="n"/>
      <c r="L17" s="248" t="n"/>
      <c r="M17" s="248" t="n"/>
      <c r="N17" s="248" t="n"/>
      <c r="O17" s="248" t="n"/>
    </row>
    <row r="18" ht="18" customHeight="1" s="234">
      <c r="A18" s="374" t="n">
        <v>13</v>
      </c>
      <c r="B18" s="375">
        <f>IF(A18&lt;Inputs!$B$33,0,MAX(0,MIN(Inputs!$B$45,Inputs!$B$30-SUM($B$5:B17))))</f>
        <v>6</v>
      </c>
      <c r="C18" s="375">
        <f>SUMIFS($B$6:$B$101,$A$6:$A$101,"&gt;"&amp;A18,$A$6:$A$101,"&lt;="&amp;A18+Inputs!$B$32)</f>
        <v>6</v>
      </c>
      <c r="D18" s="375">
        <f>SUM($B$6:B18)</f>
        <v>66</v>
      </c>
      <c r="E18" s="377">
        <f>D18*Inputs!$B$31</f>
        <v>11220</v>
      </c>
      <c r="F18" s="377">
        <f>IFERROR(B18*('Rent Roll'!$B$16/Inputs!$B$13)*Inputs!$B$32,0)</f>
        <v>6136.5625</v>
      </c>
      <c r="G18" s="377">
        <f>E18-F18</f>
        <v>5083.4375</v>
      </c>
      <c r="H18" s="248" t="n"/>
      <c r="I18" s="248" t="n"/>
      <c r="J18" s="248" t="n"/>
      <c r="K18" s="248" t="n"/>
      <c r="L18" s="248" t="n"/>
      <c r="M18" s="248" t="n"/>
      <c r="N18" s="248" t="n"/>
      <c r="O18" s="248" t="n"/>
    </row>
    <row r="19" ht="18" customHeight="1" s="234">
      <c r="A19" s="374" t="n">
        <v>14</v>
      </c>
      <c r="B19" s="375">
        <f>IF(A19&lt;Inputs!$B$33,0,MAX(0,MIN(Inputs!$B$45,Inputs!$B$30-SUM($B$5:B18))))</f>
        <v>6</v>
      </c>
      <c r="C19" s="375">
        <f>SUMIFS($B$6:$B$101,$A$6:$A$101,"&gt;"&amp;A19,$A$6:$A$101,"&lt;="&amp;A19+Inputs!$B$32)</f>
        <v>0</v>
      </c>
      <c r="D19" s="375">
        <f>SUM($B$6:B19)</f>
        <v>72</v>
      </c>
      <c r="E19" s="377">
        <f>D19*Inputs!$B$31</f>
        <v>12240</v>
      </c>
      <c r="F19" s="377">
        <f>IFERROR(B19*('Rent Roll'!$B$16/Inputs!$B$13)*Inputs!$B$32,0)</f>
        <v>6136.5625</v>
      </c>
      <c r="G19" s="377">
        <f>E19-F19</f>
        <v>6103.4375</v>
      </c>
      <c r="H19" s="248" t="n"/>
      <c r="I19" s="248" t="n"/>
      <c r="J19" s="248" t="n"/>
      <c r="K19" s="248" t="n"/>
      <c r="L19" s="248" t="n"/>
      <c r="M19" s="248" t="n"/>
      <c r="N19" s="248" t="n"/>
      <c r="O19" s="248" t="n"/>
    </row>
    <row r="20" ht="18" customHeight="1" s="234">
      <c r="A20" s="374" t="n">
        <v>15</v>
      </c>
      <c r="B20" s="375">
        <f>IF(A20&lt;Inputs!$B$33,0,MAX(0,MIN(Inputs!$B$45,Inputs!$B$30-SUM($B$5:B19))))</f>
        <v>0</v>
      </c>
      <c r="C20" s="375">
        <f>SUMIFS($B$6:$B$101,$A$6:$A$101,"&gt;"&amp;A20,$A$6:$A$101,"&lt;="&amp;A20+Inputs!$B$32)</f>
        <v>0</v>
      </c>
      <c r="D20" s="375">
        <f>SUM($B$6:B20)</f>
        <v>72</v>
      </c>
      <c r="E20" s="377">
        <f>D20*Inputs!$B$31</f>
        <v>12240</v>
      </c>
      <c r="F20" s="377">
        <f>IFERROR(B20*('Rent Roll'!$B$16/Inputs!$B$13)*Inputs!$B$32,0)</f>
        <v>0</v>
      </c>
      <c r="G20" s="377">
        <f>E20-F20</f>
        <v>12240</v>
      </c>
      <c r="H20" s="248" t="n"/>
      <c r="I20" s="248" t="n"/>
      <c r="J20" s="248" t="n"/>
      <c r="K20" s="248" t="n"/>
      <c r="L20" s="248" t="n"/>
      <c r="M20" s="248" t="n"/>
      <c r="N20" s="248" t="n"/>
      <c r="O20" s="248" t="n"/>
    </row>
    <row r="21" ht="18" customHeight="1" s="234">
      <c r="A21" s="374" t="n">
        <v>16</v>
      </c>
      <c r="B21" s="375">
        <f>IF(A21&lt;Inputs!$B$33,0,MAX(0,MIN(Inputs!$B$45,Inputs!$B$30-SUM($B$5:B20))))</f>
        <v>0</v>
      </c>
      <c r="C21" s="375">
        <f>SUMIFS($B$6:$B$101,$A$6:$A$101,"&gt;"&amp;A21,$A$6:$A$101,"&lt;="&amp;A21+Inputs!$B$32)</f>
        <v>0</v>
      </c>
      <c r="D21" s="375">
        <f>SUM($B$6:B21)</f>
        <v>72</v>
      </c>
      <c r="E21" s="377">
        <f>D21*Inputs!$B$31</f>
        <v>12240</v>
      </c>
      <c r="F21" s="377">
        <f>IFERROR(B21*('Rent Roll'!$B$16/Inputs!$B$13)*Inputs!$B$32,0)</f>
        <v>0</v>
      </c>
      <c r="G21" s="377">
        <f>E21-F21</f>
        <v>12240</v>
      </c>
      <c r="H21" s="248" t="n"/>
      <c r="I21" s="248" t="n"/>
      <c r="J21" s="248" t="n"/>
      <c r="K21" s="248" t="n"/>
      <c r="L21" s="248" t="n"/>
      <c r="M21" s="248" t="n"/>
      <c r="N21" s="248" t="n"/>
      <c r="O21" s="248" t="n"/>
    </row>
    <row r="22" ht="18" customHeight="1" s="234">
      <c r="A22" s="374" t="n">
        <v>17</v>
      </c>
      <c r="B22" s="375">
        <f>IF(A22&lt;Inputs!$B$33,0,MAX(0,MIN(Inputs!$B$45,Inputs!$B$30-SUM($B$5:B21))))</f>
        <v>0</v>
      </c>
      <c r="C22" s="375">
        <f>SUMIFS($B$6:$B$101,$A$6:$A$101,"&gt;"&amp;A22,$A$6:$A$101,"&lt;="&amp;A22+Inputs!$B$32)</f>
        <v>0</v>
      </c>
      <c r="D22" s="375">
        <f>SUM($B$6:B22)</f>
        <v>72</v>
      </c>
      <c r="E22" s="377">
        <f>D22*Inputs!$B$31</f>
        <v>12240</v>
      </c>
      <c r="F22" s="377">
        <f>IFERROR(B22*('Rent Roll'!$B$16/Inputs!$B$13)*Inputs!$B$32,0)</f>
        <v>0</v>
      </c>
      <c r="G22" s="377">
        <f>E22-F22</f>
        <v>12240</v>
      </c>
      <c r="H22" s="248" t="n"/>
      <c r="I22" s="248" t="n"/>
      <c r="J22" s="248" t="n"/>
      <c r="K22" s="248" t="n"/>
      <c r="L22" s="248" t="n"/>
      <c r="M22" s="248" t="n"/>
      <c r="N22" s="248" t="n"/>
      <c r="O22" s="248" t="n"/>
    </row>
    <row r="23" ht="18" customHeight="1" s="234">
      <c r="A23" s="374" t="n">
        <v>18</v>
      </c>
      <c r="B23" s="375">
        <f>IF(A23&lt;Inputs!$B$33,0,MAX(0,MIN(Inputs!$B$45,Inputs!$B$30-SUM($B$5:B22))))</f>
        <v>0</v>
      </c>
      <c r="C23" s="375">
        <f>SUMIFS($B$6:$B$101,$A$6:$A$101,"&gt;"&amp;A23,$A$6:$A$101,"&lt;="&amp;A23+Inputs!$B$32)</f>
        <v>0</v>
      </c>
      <c r="D23" s="375">
        <f>SUM($B$6:B23)</f>
        <v>72</v>
      </c>
      <c r="E23" s="377">
        <f>D23*Inputs!$B$31</f>
        <v>12240</v>
      </c>
      <c r="F23" s="377">
        <f>IFERROR(B23*('Rent Roll'!$B$16/Inputs!$B$13)*Inputs!$B$32,0)</f>
        <v>0</v>
      </c>
      <c r="G23" s="377">
        <f>E23-F23</f>
        <v>12240</v>
      </c>
      <c r="H23" s="248" t="n"/>
      <c r="I23" s="248" t="n"/>
      <c r="J23" s="248" t="n"/>
      <c r="K23" s="248" t="n"/>
      <c r="L23" s="248" t="n"/>
      <c r="M23" s="248" t="n"/>
      <c r="N23" s="248" t="n"/>
      <c r="O23" s="248" t="n"/>
    </row>
    <row r="24" ht="18" customHeight="1" s="234">
      <c r="A24" s="374" t="n">
        <v>19</v>
      </c>
      <c r="B24" s="375">
        <f>IF(A24&lt;Inputs!$B$33,0,MAX(0,MIN(Inputs!$B$45,Inputs!$B$30-SUM($B$5:B23))))</f>
        <v>0</v>
      </c>
      <c r="C24" s="375">
        <f>SUMIFS($B$6:$B$101,$A$6:$A$101,"&gt;"&amp;A24,$A$6:$A$101,"&lt;="&amp;A24+Inputs!$B$32)</f>
        <v>0</v>
      </c>
      <c r="D24" s="375">
        <f>SUM($B$6:B24)</f>
        <v>72</v>
      </c>
      <c r="E24" s="377">
        <f>D24*Inputs!$B$31</f>
        <v>12240</v>
      </c>
      <c r="F24" s="377">
        <f>IFERROR(B24*('Rent Roll'!$B$16/Inputs!$B$13)*Inputs!$B$32,0)</f>
        <v>0</v>
      </c>
      <c r="G24" s="377">
        <f>E24-F24</f>
        <v>12240</v>
      </c>
      <c r="H24" s="248" t="n"/>
      <c r="I24" s="248" t="n"/>
      <c r="J24" s="248" t="n"/>
      <c r="K24" s="248" t="n"/>
      <c r="L24" s="248" t="n"/>
      <c r="M24" s="248" t="n"/>
      <c r="N24" s="248" t="n"/>
      <c r="O24" s="248" t="n"/>
    </row>
    <row r="25" ht="18" customHeight="1" s="234">
      <c r="A25" s="374" t="n">
        <v>20</v>
      </c>
      <c r="B25" s="375">
        <f>IF(A25&lt;Inputs!$B$33,0,MAX(0,MIN(Inputs!$B$45,Inputs!$B$30-SUM($B$5:B24))))</f>
        <v>0</v>
      </c>
      <c r="C25" s="375">
        <f>SUMIFS($B$6:$B$101,$A$6:$A$101,"&gt;"&amp;A25,$A$6:$A$101,"&lt;="&amp;A25+Inputs!$B$32)</f>
        <v>0</v>
      </c>
      <c r="D25" s="375">
        <f>SUM($B$6:B25)</f>
        <v>72</v>
      </c>
      <c r="E25" s="377">
        <f>D25*Inputs!$B$31</f>
        <v>12240</v>
      </c>
      <c r="F25" s="377">
        <f>IFERROR(B25*('Rent Roll'!$B$16/Inputs!$B$13)*Inputs!$B$32,0)</f>
        <v>0</v>
      </c>
      <c r="G25" s="377">
        <f>E25-F25</f>
        <v>12240</v>
      </c>
      <c r="H25" s="248" t="n"/>
      <c r="I25" s="248" t="n"/>
      <c r="J25" s="248" t="n"/>
      <c r="K25" s="248" t="n"/>
      <c r="L25" s="248" t="n"/>
      <c r="M25" s="248" t="n"/>
      <c r="N25" s="248" t="n"/>
      <c r="O25" s="248" t="n"/>
    </row>
    <row r="26" ht="18" customHeight="1" s="234">
      <c r="A26" s="374" t="n">
        <v>21</v>
      </c>
      <c r="B26" s="375">
        <f>IF(A26&lt;Inputs!$B$33,0,MAX(0,MIN(Inputs!$B$45,Inputs!$B$30-SUM($B$5:B25))))</f>
        <v>0</v>
      </c>
      <c r="C26" s="375">
        <f>SUMIFS($B$6:$B$101,$A$6:$A$101,"&gt;"&amp;A26,$A$6:$A$101,"&lt;="&amp;A26+Inputs!$B$32)</f>
        <v>0</v>
      </c>
      <c r="D26" s="375">
        <f>SUM($B$6:B26)</f>
        <v>72</v>
      </c>
      <c r="E26" s="377">
        <f>D26*Inputs!$B$31</f>
        <v>12240</v>
      </c>
      <c r="F26" s="377">
        <f>IFERROR(B26*('Rent Roll'!$B$16/Inputs!$B$13)*Inputs!$B$32,0)</f>
        <v>0</v>
      </c>
      <c r="G26" s="377">
        <f>E26-F26</f>
        <v>12240</v>
      </c>
      <c r="H26" s="248" t="n"/>
      <c r="I26" s="248" t="n"/>
      <c r="J26" s="248" t="n"/>
      <c r="K26" s="248" t="n"/>
      <c r="L26" s="248" t="n"/>
      <c r="M26" s="248" t="n"/>
      <c r="N26" s="248" t="n"/>
      <c r="O26" s="248" t="n"/>
    </row>
    <row r="27" ht="18" customHeight="1" s="234">
      <c r="A27" s="374" t="n">
        <v>22</v>
      </c>
      <c r="B27" s="375">
        <f>IF(A27&lt;Inputs!$B$33,0,MAX(0,MIN(Inputs!$B$45,Inputs!$B$30-SUM($B$5:B26))))</f>
        <v>0</v>
      </c>
      <c r="C27" s="375">
        <f>SUMIFS($B$6:$B$101,$A$6:$A$101,"&gt;"&amp;A27,$A$6:$A$101,"&lt;="&amp;A27+Inputs!$B$32)</f>
        <v>0</v>
      </c>
      <c r="D27" s="375">
        <f>SUM($B$6:B27)</f>
        <v>72</v>
      </c>
      <c r="E27" s="377">
        <f>D27*Inputs!$B$31</f>
        <v>12240</v>
      </c>
      <c r="F27" s="377">
        <f>IFERROR(B27*('Rent Roll'!$B$16/Inputs!$B$13)*Inputs!$B$32,0)</f>
        <v>0</v>
      </c>
      <c r="G27" s="377">
        <f>E27-F27</f>
        <v>12240</v>
      </c>
      <c r="H27" s="248" t="n"/>
      <c r="I27" s="248" t="n"/>
      <c r="J27" s="248" t="n"/>
      <c r="K27" s="248" t="n"/>
      <c r="L27" s="248" t="n"/>
      <c r="M27" s="248" t="n"/>
      <c r="N27" s="248" t="n"/>
      <c r="O27" s="248" t="n"/>
    </row>
    <row r="28" ht="18" customHeight="1" s="234">
      <c r="A28" s="374" t="n">
        <v>23</v>
      </c>
      <c r="B28" s="375">
        <f>IF(A28&lt;Inputs!$B$33,0,MAX(0,MIN(Inputs!$B$45,Inputs!$B$30-SUM($B$5:B27))))</f>
        <v>0</v>
      </c>
      <c r="C28" s="375">
        <f>SUMIFS($B$6:$B$101,$A$6:$A$101,"&gt;"&amp;A28,$A$6:$A$101,"&lt;="&amp;A28+Inputs!$B$32)</f>
        <v>0</v>
      </c>
      <c r="D28" s="375">
        <f>SUM($B$6:B28)</f>
        <v>72</v>
      </c>
      <c r="E28" s="377">
        <f>D28*Inputs!$B$31</f>
        <v>12240</v>
      </c>
      <c r="F28" s="377">
        <f>IFERROR(B28*('Rent Roll'!$B$16/Inputs!$B$13)*Inputs!$B$32,0)</f>
        <v>0</v>
      </c>
      <c r="G28" s="377">
        <f>E28-F28</f>
        <v>12240</v>
      </c>
      <c r="H28" s="248" t="n"/>
      <c r="I28" s="248" t="n"/>
      <c r="J28" s="248" t="n"/>
      <c r="K28" s="248" t="n"/>
      <c r="L28" s="248" t="n"/>
      <c r="M28" s="248" t="n"/>
      <c r="N28" s="248" t="n"/>
      <c r="O28" s="248" t="n"/>
    </row>
    <row r="29" ht="18" customHeight="1" s="234">
      <c r="A29" s="374" t="n">
        <v>24</v>
      </c>
      <c r="B29" s="375">
        <f>IF(A29&lt;Inputs!$B$33,0,MAX(0,MIN(Inputs!$B$45,Inputs!$B$30-SUM($B$5:B28))))</f>
        <v>0</v>
      </c>
      <c r="C29" s="375">
        <f>SUMIFS($B$6:$B$101,$A$6:$A$101,"&gt;"&amp;A29,$A$6:$A$101,"&lt;="&amp;A29+Inputs!$B$32)</f>
        <v>0</v>
      </c>
      <c r="D29" s="375">
        <f>SUM($B$6:B29)</f>
        <v>72</v>
      </c>
      <c r="E29" s="377">
        <f>D29*Inputs!$B$31</f>
        <v>12240</v>
      </c>
      <c r="F29" s="377">
        <f>IFERROR(B29*('Rent Roll'!$B$16/Inputs!$B$13)*Inputs!$B$32,0)</f>
        <v>0</v>
      </c>
      <c r="G29" s="377">
        <f>E29-F29</f>
        <v>12240</v>
      </c>
      <c r="H29" s="248" t="n"/>
      <c r="I29" s="248" t="n"/>
      <c r="J29" s="248" t="n"/>
      <c r="K29" s="248" t="n"/>
      <c r="L29" s="248" t="n"/>
      <c r="M29" s="248" t="n"/>
      <c r="N29" s="248" t="n"/>
      <c r="O29" s="248" t="n"/>
    </row>
    <row r="30" ht="8.1" customHeight="1" s="234">
      <c r="A30" s="378" t="n">
        <v>25</v>
      </c>
      <c r="B30" s="379">
        <f>IF(A30&lt;Inputs!$B$33,0,MAX(0,MIN(Inputs!$B$45,Inputs!$B$30-SUM($B$5:B29))))</f>
        <v>0</v>
      </c>
      <c r="C30" s="379">
        <f>SUMIFS($B$6:$B$101,$A$6:$A$101,"&gt;"&amp;A30,$A$6:$A$101,"&lt;="&amp;A30+Inputs!$B$32)</f>
        <v>0</v>
      </c>
      <c r="D30" s="379">
        <f>SUM($B$6:B30)</f>
        <v>72</v>
      </c>
      <c r="E30" s="380">
        <f>D30*Inputs!$B$31</f>
        <v>12240</v>
      </c>
      <c r="F30" s="380">
        <f>IFERROR(B30*('Rent Roll'!$B$16/Inputs!$B$13)*Inputs!$B$32,0)</f>
        <v>0</v>
      </c>
      <c r="G30" s="380">
        <f>E30-F30</f>
        <v>12240</v>
      </c>
      <c r="H30" s="248" t="n"/>
      <c r="I30" s="248" t="n"/>
      <c r="J30" s="248" t="n"/>
      <c r="K30" s="248" t="n"/>
      <c r="L30" s="248" t="n"/>
      <c r="M30" s="248" t="n"/>
      <c r="N30" s="248" t="n"/>
      <c r="O30" s="248" t="n"/>
    </row>
    <row r="31" ht="18" customHeight="1" s="234">
      <c r="A31" s="378" t="n">
        <v>26</v>
      </c>
      <c r="B31" s="379">
        <f>IF(A31&lt;Inputs!$B$33,0,MAX(0,MIN(Inputs!$B$45,Inputs!$B$30-SUM($B$5:B30))))</f>
        <v>0</v>
      </c>
      <c r="C31" s="379">
        <f>SUMIFS($B$6:$B$101,$A$6:$A$101,"&gt;"&amp;A31,$A$6:$A$101,"&lt;="&amp;A31+Inputs!$B$32)</f>
        <v>0</v>
      </c>
      <c r="D31" s="379">
        <f>SUM($B$6:B31)</f>
        <v>72</v>
      </c>
      <c r="E31" s="380">
        <f>D31*Inputs!$B$31</f>
        <v>12240</v>
      </c>
      <c r="F31" s="380">
        <f>IFERROR(B31*('Rent Roll'!$B$16/Inputs!$B$13)*Inputs!$B$32,0)</f>
        <v>0</v>
      </c>
      <c r="G31" s="380">
        <f>E31-F31</f>
        <v>12240</v>
      </c>
      <c r="H31" s="248" t="n"/>
      <c r="I31" s="248" t="n"/>
      <c r="J31" s="248" t="n"/>
      <c r="K31" s="248" t="n"/>
      <c r="L31" s="248" t="n"/>
      <c r="M31" s="248" t="n"/>
      <c r="N31" s="248" t="n"/>
      <c r="O31" s="248" t="n"/>
    </row>
    <row r="32" ht="18" customHeight="1" s="234">
      <c r="A32" s="378" t="n">
        <v>27</v>
      </c>
      <c r="B32" s="379">
        <f>IF(A32&lt;Inputs!$B$33,0,MAX(0,MIN(Inputs!$B$45,Inputs!$B$30-SUM($B$5:B31))))</f>
        <v>0</v>
      </c>
      <c r="C32" s="379">
        <f>SUMIFS($B$6:$B$101,$A$6:$A$101,"&gt;"&amp;A32,$A$6:$A$101,"&lt;="&amp;A32+Inputs!$B$32)</f>
        <v>0</v>
      </c>
      <c r="D32" s="379">
        <f>SUM($B$6:B32)</f>
        <v>72</v>
      </c>
      <c r="E32" s="380">
        <f>D32*Inputs!$B$31</f>
        <v>12240</v>
      </c>
      <c r="F32" s="380">
        <f>IFERROR(B32*('Rent Roll'!$B$16/Inputs!$B$13)*Inputs!$B$32,0)</f>
        <v>0</v>
      </c>
      <c r="G32" s="380">
        <f>E32-F32</f>
        <v>12240</v>
      </c>
      <c r="H32" s="248" t="n"/>
      <c r="I32" s="248" t="n"/>
      <c r="J32" s="248" t="n"/>
      <c r="K32" s="248" t="n"/>
      <c r="L32" s="248" t="n"/>
      <c r="M32" s="248" t="n"/>
      <c r="N32" s="248" t="n"/>
      <c r="O32" s="248" t="n"/>
    </row>
    <row r="33" ht="18" customHeight="1" s="234">
      <c r="A33" s="378" t="n">
        <v>28</v>
      </c>
      <c r="B33" s="379">
        <f>IF(A33&lt;Inputs!$B$33,0,MAX(0,MIN(Inputs!$B$45,Inputs!$B$30-SUM($B$5:B32))))</f>
        <v>0</v>
      </c>
      <c r="C33" s="379">
        <f>SUMIFS($B$6:$B$101,$A$6:$A$101,"&gt;"&amp;A33,$A$6:$A$101,"&lt;="&amp;A33+Inputs!$B$32)</f>
        <v>0</v>
      </c>
      <c r="D33" s="379">
        <f>SUM($B$6:B33)</f>
        <v>72</v>
      </c>
      <c r="E33" s="380">
        <f>D33*Inputs!$B$31</f>
        <v>12240</v>
      </c>
      <c r="F33" s="380">
        <f>IFERROR(B33*('Rent Roll'!$B$16/Inputs!$B$13)*Inputs!$B$32,0)</f>
        <v>0</v>
      </c>
      <c r="G33" s="380">
        <f>E33-F33</f>
        <v>12240</v>
      </c>
      <c r="H33" s="248" t="n"/>
      <c r="I33" s="248" t="n"/>
      <c r="J33" s="248" t="n"/>
      <c r="K33" s="248" t="n"/>
      <c r="L33" s="248" t="n"/>
      <c r="M33" s="248" t="n"/>
      <c r="N33" s="248" t="n"/>
      <c r="O33" s="248" t="n"/>
    </row>
    <row r="34">
      <c r="A34" s="378" t="n">
        <v>29</v>
      </c>
      <c r="B34" s="379">
        <f>IF(A34&lt;Inputs!$B$33,0,MAX(0,MIN(Inputs!$B$45,Inputs!$B$30-SUM($B$5:B33))))</f>
        <v>0</v>
      </c>
      <c r="C34" s="379">
        <f>SUMIFS($B$6:$B$101,$A$6:$A$101,"&gt;"&amp;A34,$A$6:$A$101,"&lt;="&amp;A34+Inputs!$B$32)</f>
        <v>0</v>
      </c>
      <c r="D34" s="379">
        <f>SUM($B$6:B34)</f>
        <v>72</v>
      </c>
      <c r="E34" s="380">
        <f>D34*Inputs!$B$31</f>
        <v>12240</v>
      </c>
      <c r="F34" s="380">
        <f>IFERROR(B34*('Rent Roll'!$B$16/Inputs!$B$13)*Inputs!$B$32,0)</f>
        <v>0</v>
      </c>
      <c r="G34" s="380">
        <f>E34-F34</f>
        <v>12240</v>
      </c>
      <c r="H34" s="248" t="n"/>
      <c r="I34" s="248" t="n"/>
      <c r="J34" s="248" t="n"/>
      <c r="K34" s="248" t="n"/>
      <c r="L34" s="248" t="n"/>
      <c r="M34" s="248" t="n"/>
      <c r="N34" s="248" t="n"/>
      <c r="O34" s="248" t="n"/>
    </row>
    <row r="35">
      <c r="A35" s="378" t="n">
        <v>30</v>
      </c>
      <c r="B35" s="379">
        <f>IF(A35&lt;Inputs!$B$33,0,MAX(0,MIN(Inputs!$B$45,Inputs!$B$30-SUM($B$5:B34))))</f>
        <v>0</v>
      </c>
      <c r="C35" s="379">
        <f>SUMIFS($B$6:$B$101,$A$6:$A$101,"&gt;"&amp;A35,$A$6:$A$101,"&lt;="&amp;A35+Inputs!$B$32)</f>
        <v>0</v>
      </c>
      <c r="D35" s="379">
        <f>SUM($B$6:B35)</f>
        <v>72</v>
      </c>
      <c r="E35" s="380">
        <f>D35*Inputs!$B$31</f>
        <v>12240</v>
      </c>
      <c r="F35" s="380">
        <f>IFERROR(B35*('Rent Roll'!$B$16/Inputs!$B$13)*Inputs!$B$32,0)</f>
        <v>0</v>
      </c>
      <c r="G35" s="380">
        <f>E35-F35</f>
        <v>12240</v>
      </c>
    </row>
    <row r="36">
      <c r="A36" s="378" t="n">
        <v>31</v>
      </c>
      <c r="B36" s="379">
        <f>IF(A36&lt;Inputs!$B$33,0,MAX(0,MIN(Inputs!$B$45,Inputs!$B$30-SUM($B$5:B35))))</f>
        <v>0</v>
      </c>
      <c r="C36" s="379">
        <f>SUMIFS($B$6:$B$101,$A$6:$A$101,"&gt;"&amp;A36,$A$6:$A$101,"&lt;="&amp;A36+Inputs!$B$32)</f>
        <v>0</v>
      </c>
      <c r="D36" s="379">
        <f>SUM($B$6:B36)</f>
        <v>72</v>
      </c>
      <c r="E36" s="380">
        <f>D36*Inputs!$B$31</f>
        <v>12240</v>
      </c>
      <c r="F36" s="380">
        <f>IFERROR(B36*('Rent Roll'!$B$16/Inputs!$B$13)*Inputs!$B$32,0)</f>
        <v>0</v>
      </c>
      <c r="G36" s="380">
        <f>E36-F36</f>
        <v>12240</v>
      </c>
    </row>
    <row r="37" ht="28.5" customHeight="1" s="234">
      <c r="A37" s="378" t="n">
        <v>32</v>
      </c>
      <c r="B37" s="379">
        <f>IF(A37&lt;Inputs!$B$33,0,MAX(0,MIN(Inputs!$B$45,Inputs!$B$30-SUM($B$5:B36))))</f>
        <v>0</v>
      </c>
      <c r="C37" s="379">
        <f>SUMIFS($B$6:$B$101,$A$6:$A$101,"&gt;"&amp;A37,$A$6:$A$101,"&lt;="&amp;A37+Inputs!$B$32)</f>
        <v>0</v>
      </c>
      <c r="D37" s="379">
        <f>SUM($B$6:B37)</f>
        <v>72</v>
      </c>
      <c r="E37" s="380">
        <f>D37*Inputs!$B$31</f>
        <v>12240</v>
      </c>
      <c r="F37" s="380">
        <f>IFERROR(B37*('Rent Roll'!$B$16/Inputs!$B$13)*Inputs!$B$32,0)</f>
        <v>0</v>
      </c>
      <c r="G37" s="380">
        <f>E37-F37</f>
        <v>12240</v>
      </c>
    </row>
    <row r="38">
      <c r="A38" s="378" t="n">
        <v>33</v>
      </c>
      <c r="B38" s="379">
        <f>IF(A38&lt;Inputs!$B$33,0,MAX(0,MIN(Inputs!$B$45,Inputs!$B$30-SUM($B$5:B37))))</f>
        <v>0</v>
      </c>
      <c r="C38" s="379">
        <f>SUMIFS($B$6:$B$101,$A$6:$A$101,"&gt;"&amp;A38,$A$6:$A$101,"&lt;="&amp;A38+Inputs!$B$32)</f>
        <v>0</v>
      </c>
      <c r="D38" s="379">
        <f>SUM($B$6:B38)</f>
        <v>72</v>
      </c>
      <c r="E38" s="380">
        <f>D38*Inputs!$B$31</f>
        <v>12240</v>
      </c>
      <c r="F38" s="380">
        <f>IFERROR(B38*('Rent Roll'!$B$16/Inputs!$B$13)*Inputs!$B$32,0)</f>
        <v>0</v>
      </c>
      <c r="G38" s="380">
        <f>E38-F38</f>
        <v>12240</v>
      </c>
    </row>
    <row r="39">
      <c r="A39" s="378" t="n">
        <v>34</v>
      </c>
      <c r="B39" s="379">
        <f>IF(A39&lt;Inputs!$B$33,0,MAX(0,MIN(Inputs!$B$45,Inputs!$B$30-SUM($B$5:B38))))</f>
        <v>0</v>
      </c>
      <c r="C39" s="379">
        <f>SUMIFS($B$6:$B$101,$A$6:$A$101,"&gt;"&amp;A39,$A$6:$A$101,"&lt;="&amp;A39+Inputs!$B$32)</f>
        <v>0</v>
      </c>
      <c r="D39" s="379">
        <f>SUM($B$6:B39)</f>
        <v>72</v>
      </c>
      <c r="E39" s="380">
        <f>D39*Inputs!$B$31</f>
        <v>12240</v>
      </c>
      <c r="F39" s="380">
        <f>IFERROR(B39*('Rent Roll'!$B$16/Inputs!$B$13)*Inputs!$B$32,0)</f>
        <v>0</v>
      </c>
      <c r="G39" s="380">
        <f>E39-F39</f>
        <v>12240</v>
      </c>
    </row>
    <row r="40">
      <c r="A40" s="378" t="n">
        <v>35</v>
      </c>
      <c r="B40" s="379">
        <f>IF(A40&lt;Inputs!$B$33,0,MAX(0,MIN(Inputs!$B$45,Inputs!$B$30-SUM($B$5:B39))))</f>
        <v>0</v>
      </c>
      <c r="C40" s="379">
        <f>SUMIFS($B$6:$B$101,$A$6:$A$101,"&gt;"&amp;A40,$A$6:$A$101,"&lt;="&amp;A40+Inputs!$B$32)</f>
        <v>0</v>
      </c>
      <c r="D40" s="379">
        <f>SUM($B$6:B40)</f>
        <v>72</v>
      </c>
      <c r="E40" s="380">
        <f>D40*Inputs!$B$31</f>
        <v>12240</v>
      </c>
      <c r="F40" s="380">
        <f>IFERROR(B40*('Rent Roll'!$B$16/Inputs!$B$13)*Inputs!$B$32,0)</f>
        <v>0</v>
      </c>
      <c r="G40" s="380">
        <f>E40-F40</f>
        <v>12240</v>
      </c>
    </row>
    <row r="41">
      <c r="A41" s="378" t="n">
        <v>36</v>
      </c>
      <c r="B41" s="379">
        <f>IF(A41&lt;Inputs!$B$33,0,MAX(0,MIN(Inputs!$B$45,Inputs!$B$30-SUM($B$5:B40))))</f>
        <v>0</v>
      </c>
      <c r="C41" s="379">
        <f>SUMIFS($B$6:$B$101,$A$6:$A$101,"&gt;"&amp;A41,$A$6:$A$101,"&lt;="&amp;A41+Inputs!$B$32)</f>
        <v>0</v>
      </c>
      <c r="D41" s="379">
        <f>SUM($B$6:B41)</f>
        <v>72</v>
      </c>
      <c r="E41" s="380">
        <f>D41*Inputs!$B$31</f>
        <v>12240</v>
      </c>
      <c r="F41" s="380">
        <f>IFERROR(B41*('Rent Roll'!$B$16/Inputs!$B$13)*Inputs!$B$32,0)</f>
        <v>0</v>
      </c>
      <c r="G41" s="380">
        <f>E41-F41</f>
        <v>12240</v>
      </c>
    </row>
    <row r="42">
      <c r="A42" s="378" t="n">
        <v>37</v>
      </c>
      <c r="B42" s="379">
        <f>IF(A42&lt;Inputs!$B$33,0,MAX(0,MIN(Inputs!$B$45,Inputs!$B$30-SUM($B$5:B41))))</f>
        <v>0</v>
      </c>
      <c r="C42" s="379">
        <f>SUMIFS($B$6:$B$101,$A$6:$A$101,"&gt;"&amp;A42,$A$6:$A$101,"&lt;="&amp;A42+Inputs!$B$32)</f>
        <v>0</v>
      </c>
      <c r="D42" s="379">
        <f>SUM($B$6:B42)</f>
        <v>72</v>
      </c>
      <c r="E42" s="380">
        <f>D42*Inputs!$B$31</f>
        <v>12240</v>
      </c>
      <c r="F42" s="380">
        <f>IFERROR(B42*('Rent Roll'!$B$16/Inputs!$B$13)*Inputs!$B$32,0)</f>
        <v>0</v>
      </c>
      <c r="G42" s="380">
        <f>E42-F42</f>
        <v>12240</v>
      </c>
    </row>
    <row r="43">
      <c r="A43" s="378" t="n">
        <v>38</v>
      </c>
      <c r="B43" s="379">
        <f>IF(A43&lt;Inputs!$B$33,0,MAX(0,MIN(Inputs!$B$45,Inputs!$B$30-SUM($B$5:B42))))</f>
        <v>0</v>
      </c>
      <c r="C43" s="379">
        <f>SUMIFS($B$6:$B$101,$A$6:$A$101,"&gt;"&amp;A43,$A$6:$A$101,"&lt;="&amp;A43+Inputs!$B$32)</f>
        <v>0</v>
      </c>
      <c r="D43" s="379">
        <f>SUM($B$6:B43)</f>
        <v>72</v>
      </c>
      <c r="E43" s="380">
        <f>D43*Inputs!$B$31</f>
        <v>12240</v>
      </c>
      <c r="F43" s="380">
        <f>IFERROR(B43*('Rent Roll'!$B$16/Inputs!$B$13)*Inputs!$B$32,0)</f>
        <v>0</v>
      </c>
      <c r="G43" s="380">
        <f>E43-F43</f>
        <v>12240</v>
      </c>
    </row>
    <row r="44">
      <c r="A44" s="378" t="n">
        <v>39</v>
      </c>
      <c r="B44" s="379">
        <f>IF(A44&lt;Inputs!$B$33,0,MAX(0,MIN(Inputs!$B$45,Inputs!$B$30-SUM($B$5:B43))))</f>
        <v>0</v>
      </c>
      <c r="C44" s="379">
        <f>SUMIFS($B$6:$B$101,$A$6:$A$101,"&gt;"&amp;A44,$A$6:$A$101,"&lt;="&amp;A44+Inputs!$B$32)</f>
        <v>0</v>
      </c>
      <c r="D44" s="379">
        <f>SUM($B$6:B44)</f>
        <v>72</v>
      </c>
      <c r="E44" s="380">
        <f>D44*Inputs!$B$31</f>
        <v>12240</v>
      </c>
      <c r="F44" s="380">
        <f>IFERROR(B44*('Rent Roll'!$B$16/Inputs!$B$13)*Inputs!$B$32,0)</f>
        <v>0</v>
      </c>
      <c r="G44" s="380">
        <f>E44-F44</f>
        <v>12240</v>
      </c>
    </row>
    <row r="45">
      <c r="A45" s="378" t="n">
        <v>40</v>
      </c>
      <c r="B45" s="379">
        <f>IF(A45&lt;Inputs!$B$33,0,MAX(0,MIN(Inputs!$B$45,Inputs!$B$30-SUM($B$5:B44))))</f>
        <v>0</v>
      </c>
      <c r="C45" s="379">
        <f>SUMIFS($B$6:$B$101,$A$6:$A$101,"&gt;"&amp;A45,$A$6:$A$101,"&lt;="&amp;A45+Inputs!$B$32)</f>
        <v>0</v>
      </c>
      <c r="D45" s="379">
        <f>SUM($B$6:B45)</f>
        <v>72</v>
      </c>
      <c r="E45" s="380">
        <f>D45*Inputs!$B$31</f>
        <v>12240</v>
      </c>
      <c r="F45" s="380">
        <f>IFERROR(B45*('Rent Roll'!$B$16/Inputs!$B$13)*Inputs!$B$32,0)</f>
        <v>0</v>
      </c>
      <c r="G45" s="380">
        <f>E45-F45</f>
        <v>12240</v>
      </c>
    </row>
    <row r="46">
      <c r="A46" s="378" t="n">
        <v>41</v>
      </c>
      <c r="B46" s="379">
        <f>IF(A46&lt;Inputs!$B$33,0,MAX(0,MIN(Inputs!$B$45,Inputs!$B$30-SUM($B$5:B45))))</f>
        <v>0</v>
      </c>
      <c r="C46" s="379">
        <f>SUMIFS($B$6:$B$101,$A$6:$A$101,"&gt;"&amp;A46,$A$6:$A$101,"&lt;="&amp;A46+Inputs!$B$32)</f>
        <v>0</v>
      </c>
      <c r="D46" s="379">
        <f>SUM($B$6:B46)</f>
        <v>72</v>
      </c>
      <c r="E46" s="380">
        <f>D46*Inputs!$B$31</f>
        <v>12240</v>
      </c>
      <c r="F46" s="380">
        <f>IFERROR(B46*('Rent Roll'!$B$16/Inputs!$B$13)*Inputs!$B$32,0)</f>
        <v>0</v>
      </c>
      <c r="G46" s="380">
        <f>E46-F46</f>
        <v>12240</v>
      </c>
    </row>
    <row r="47">
      <c r="A47" s="378" t="n">
        <v>42</v>
      </c>
      <c r="B47" s="379">
        <f>IF(A47&lt;Inputs!$B$33,0,MAX(0,MIN(Inputs!$B$45,Inputs!$B$30-SUM($B$5:B46))))</f>
        <v>0</v>
      </c>
      <c r="C47" s="379">
        <f>SUMIFS($B$6:$B$101,$A$6:$A$101,"&gt;"&amp;A47,$A$6:$A$101,"&lt;="&amp;A47+Inputs!$B$32)</f>
        <v>0</v>
      </c>
      <c r="D47" s="379">
        <f>SUM($B$6:B47)</f>
        <v>72</v>
      </c>
      <c r="E47" s="380">
        <f>D47*Inputs!$B$31</f>
        <v>12240</v>
      </c>
      <c r="F47" s="380">
        <f>IFERROR(B47*('Rent Roll'!$B$16/Inputs!$B$13)*Inputs!$B$32,0)</f>
        <v>0</v>
      </c>
      <c r="G47" s="380">
        <f>E47-F47</f>
        <v>12240</v>
      </c>
    </row>
    <row r="48">
      <c r="A48" s="378" t="n">
        <v>43</v>
      </c>
      <c r="B48" s="379">
        <f>IF(A48&lt;Inputs!$B$33,0,MAX(0,MIN(Inputs!$B$45,Inputs!$B$30-SUM($B$5:B47))))</f>
        <v>0</v>
      </c>
      <c r="C48" s="379">
        <f>SUMIFS($B$6:$B$101,$A$6:$A$101,"&gt;"&amp;A48,$A$6:$A$101,"&lt;="&amp;A48+Inputs!$B$32)</f>
        <v>0</v>
      </c>
      <c r="D48" s="379">
        <f>SUM($B$6:B48)</f>
        <v>72</v>
      </c>
      <c r="E48" s="380">
        <f>D48*Inputs!$B$31</f>
        <v>12240</v>
      </c>
      <c r="F48" s="380">
        <f>IFERROR(B48*('Rent Roll'!$B$16/Inputs!$B$13)*Inputs!$B$32,0)</f>
        <v>0</v>
      </c>
      <c r="G48" s="380">
        <f>E48-F48</f>
        <v>12240</v>
      </c>
    </row>
    <row r="49">
      <c r="A49" s="378" t="n">
        <v>44</v>
      </c>
      <c r="B49" s="379">
        <f>IF(A49&lt;Inputs!$B$33,0,MAX(0,MIN(Inputs!$B$45,Inputs!$B$30-SUM($B$5:B48))))</f>
        <v>0</v>
      </c>
      <c r="C49" s="379">
        <f>SUMIFS($B$6:$B$101,$A$6:$A$101,"&gt;"&amp;A49,$A$6:$A$101,"&lt;="&amp;A49+Inputs!$B$32)</f>
        <v>0</v>
      </c>
      <c r="D49" s="379">
        <f>SUM($B$6:B49)</f>
        <v>72</v>
      </c>
      <c r="E49" s="380">
        <f>D49*Inputs!$B$31</f>
        <v>12240</v>
      </c>
      <c r="F49" s="380">
        <f>IFERROR(B49*('Rent Roll'!$B$16/Inputs!$B$13)*Inputs!$B$32,0)</f>
        <v>0</v>
      </c>
      <c r="G49" s="380">
        <f>E49-F49</f>
        <v>12240</v>
      </c>
    </row>
    <row r="50">
      <c r="A50" s="378" t="n">
        <v>45</v>
      </c>
      <c r="B50" s="379">
        <f>IF(A50&lt;Inputs!$B$33,0,MAX(0,MIN(Inputs!$B$45,Inputs!$B$30-SUM($B$5:B49))))</f>
        <v>0</v>
      </c>
      <c r="C50" s="379">
        <f>SUMIFS($B$6:$B$101,$A$6:$A$101,"&gt;"&amp;A50,$A$6:$A$101,"&lt;="&amp;A50+Inputs!$B$32)</f>
        <v>0</v>
      </c>
      <c r="D50" s="379">
        <f>SUM($B$6:B50)</f>
        <v>72</v>
      </c>
      <c r="E50" s="380">
        <f>D50*Inputs!$B$31</f>
        <v>12240</v>
      </c>
      <c r="F50" s="380">
        <f>IFERROR(B50*('Rent Roll'!$B$16/Inputs!$B$13)*Inputs!$B$32,0)</f>
        <v>0</v>
      </c>
      <c r="G50" s="380">
        <f>E50-F50</f>
        <v>12240</v>
      </c>
    </row>
    <row r="51">
      <c r="A51" s="378" t="n">
        <v>46</v>
      </c>
      <c r="B51" s="379">
        <f>IF(A51&lt;Inputs!$B$33,0,MAX(0,MIN(Inputs!$B$45,Inputs!$B$30-SUM($B$5:B50))))</f>
        <v>0</v>
      </c>
      <c r="C51" s="379">
        <f>SUMIFS($B$6:$B$101,$A$6:$A$101,"&gt;"&amp;A51,$A$6:$A$101,"&lt;="&amp;A51+Inputs!$B$32)</f>
        <v>0</v>
      </c>
      <c r="D51" s="379">
        <f>SUM($B$6:B51)</f>
        <v>72</v>
      </c>
      <c r="E51" s="380">
        <f>D51*Inputs!$B$31</f>
        <v>12240</v>
      </c>
      <c r="F51" s="380">
        <f>IFERROR(B51*('Rent Roll'!$B$16/Inputs!$B$13)*Inputs!$B$32,0)</f>
        <v>0</v>
      </c>
      <c r="G51" s="380">
        <f>E51-F51</f>
        <v>12240</v>
      </c>
    </row>
    <row r="52">
      <c r="A52" s="378" t="n">
        <v>47</v>
      </c>
      <c r="B52" s="379">
        <f>IF(A52&lt;Inputs!$B$33,0,MAX(0,MIN(Inputs!$B$45,Inputs!$B$30-SUM($B$5:B51))))</f>
        <v>0</v>
      </c>
      <c r="C52" s="379">
        <f>SUMIFS($B$6:$B$101,$A$6:$A$101,"&gt;"&amp;A52,$A$6:$A$101,"&lt;="&amp;A52+Inputs!$B$32)</f>
        <v>0</v>
      </c>
      <c r="D52" s="379">
        <f>SUM($B$6:B52)</f>
        <v>72</v>
      </c>
      <c r="E52" s="380">
        <f>D52*Inputs!$B$31</f>
        <v>12240</v>
      </c>
      <c r="F52" s="380">
        <f>IFERROR(B52*('Rent Roll'!$B$16/Inputs!$B$13)*Inputs!$B$32,0)</f>
        <v>0</v>
      </c>
      <c r="G52" s="380">
        <f>E52-F52</f>
        <v>12240</v>
      </c>
    </row>
    <row r="53">
      <c r="A53" s="378" t="n">
        <v>48</v>
      </c>
      <c r="B53" s="379">
        <f>IF(A53&lt;Inputs!$B$33,0,MAX(0,MIN(Inputs!$B$45,Inputs!$B$30-SUM($B$5:B52))))</f>
        <v>0</v>
      </c>
      <c r="C53" s="379">
        <f>SUMIFS($B$6:$B$101,$A$6:$A$101,"&gt;"&amp;A53,$A$6:$A$101,"&lt;="&amp;A53+Inputs!$B$32)</f>
        <v>0</v>
      </c>
      <c r="D53" s="379">
        <f>SUM($B$6:B53)</f>
        <v>72</v>
      </c>
      <c r="E53" s="380">
        <f>D53*Inputs!$B$31</f>
        <v>12240</v>
      </c>
      <c r="F53" s="380">
        <f>IFERROR(B53*('Rent Roll'!$B$16/Inputs!$B$13)*Inputs!$B$32,0)</f>
        <v>0</v>
      </c>
      <c r="G53" s="380">
        <f>E53-F53</f>
        <v>12240</v>
      </c>
    </row>
    <row r="54">
      <c r="A54" s="378" t="n">
        <v>49</v>
      </c>
      <c r="B54" s="379">
        <f>IF(A54&lt;Inputs!$B$33,0,MAX(0,MIN(Inputs!$B$45,Inputs!$B$30-SUM($B$5:B53))))</f>
        <v>0</v>
      </c>
      <c r="C54" s="379">
        <f>SUMIFS($B$6:$B$101,$A$6:$A$101,"&gt;"&amp;A54,$A$6:$A$101,"&lt;="&amp;A54+Inputs!$B$32)</f>
        <v>0</v>
      </c>
      <c r="D54" s="379">
        <f>SUM($B$6:B54)</f>
        <v>72</v>
      </c>
      <c r="E54" s="380">
        <f>D54*Inputs!$B$31</f>
        <v>12240</v>
      </c>
      <c r="F54" s="380">
        <f>IFERROR(B54*('Rent Roll'!$B$16/Inputs!$B$13)*Inputs!$B$32,0)</f>
        <v>0</v>
      </c>
      <c r="G54" s="380">
        <f>E54-F54</f>
        <v>12240</v>
      </c>
    </row>
    <row r="55">
      <c r="A55" s="378" t="n">
        <v>50</v>
      </c>
      <c r="B55" s="379">
        <f>IF(A55&lt;Inputs!$B$33,0,MAX(0,MIN(Inputs!$B$45,Inputs!$B$30-SUM($B$5:B54))))</f>
        <v>0</v>
      </c>
      <c r="C55" s="379">
        <f>SUMIFS($B$6:$B$101,$A$6:$A$101,"&gt;"&amp;A55,$A$6:$A$101,"&lt;="&amp;A55+Inputs!$B$32)</f>
        <v>0</v>
      </c>
      <c r="D55" s="379">
        <f>SUM($B$6:B55)</f>
        <v>72</v>
      </c>
      <c r="E55" s="380">
        <f>D55*Inputs!$B$31</f>
        <v>12240</v>
      </c>
      <c r="F55" s="380">
        <f>IFERROR(B55*('Rent Roll'!$B$16/Inputs!$B$13)*Inputs!$B$32,0)</f>
        <v>0</v>
      </c>
      <c r="G55" s="380">
        <f>E55-F55</f>
        <v>12240</v>
      </c>
    </row>
    <row r="56">
      <c r="A56" s="378" t="n">
        <v>51</v>
      </c>
      <c r="B56" s="379">
        <f>IF(A56&lt;Inputs!$B$33,0,MAX(0,MIN(Inputs!$B$45,Inputs!$B$30-SUM($B$5:B55))))</f>
        <v>0</v>
      </c>
      <c r="C56" s="379">
        <f>SUMIFS($B$6:$B$101,$A$6:$A$101,"&gt;"&amp;A56,$A$6:$A$101,"&lt;="&amp;A56+Inputs!$B$32)</f>
        <v>0</v>
      </c>
      <c r="D56" s="379">
        <f>SUM($B$6:B56)</f>
        <v>72</v>
      </c>
      <c r="E56" s="380">
        <f>D56*Inputs!$B$31</f>
        <v>12240</v>
      </c>
      <c r="F56" s="380">
        <f>IFERROR(B56*('Rent Roll'!$B$16/Inputs!$B$13)*Inputs!$B$32,0)</f>
        <v>0</v>
      </c>
      <c r="G56" s="380">
        <f>E56-F56</f>
        <v>12240</v>
      </c>
    </row>
    <row r="57">
      <c r="A57" s="378" t="n">
        <v>52</v>
      </c>
      <c r="B57" s="379">
        <f>IF(A57&lt;Inputs!$B$33,0,MAX(0,MIN(Inputs!$B$45,Inputs!$B$30-SUM($B$5:B56))))</f>
        <v>0</v>
      </c>
      <c r="C57" s="379">
        <f>SUMIFS($B$6:$B$101,$A$6:$A$101,"&gt;"&amp;A57,$A$6:$A$101,"&lt;="&amp;A57+Inputs!$B$32)</f>
        <v>0</v>
      </c>
      <c r="D57" s="379">
        <f>SUM($B$6:B57)</f>
        <v>72</v>
      </c>
      <c r="E57" s="380">
        <f>D57*Inputs!$B$31</f>
        <v>12240</v>
      </c>
      <c r="F57" s="380">
        <f>IFERROR(B57*('Rent Roll'!$B$16/Inputs!$B$13)*Inputs!$B$32,0)</f>
        <v>0</v>
      </c>
      <c r="G57" s="380">
        <f>E57-F57</f>
        <v>12240</v>
      </c>
    </row>
    <row r="58">
      <c r="A58" s="378" t="n">
        <v>53</v>
      </c>
      <c r="B58" s="379">
        <f>IF(A58&lt;Inputs!$B$33,0,MAX(0,MIN(Inputs!$B$45,Inputs!$B$30-SUM($B$5:B57))))</f>
        <v>0</v>
      </c>
      <c r="C58" s="379">
        <f>SUMIFS($B$6:$B$101,$A$6:$A$101,"&gt;"&amp;A58,$A$6:$A$101,"&lt;="&amp;A58+Inputs!$B$32)</f>
        <v>0</v>
      </c>
      <c r="D58" s="379">
        <f>SUM($B$6:B58)</f>
        <v>72</v>
      </c>
      <c r="E58" s="380">
        <f>D58*Inputs!$B$31</f>
        <v>12240</v>
      </c>
      <c r="F58" s="380">
        <f>IFERROR(B58*('Rent Roll'!$B$16/Inputs!$B$13)*Inputs!$B$32,0)</f>
        <v>0</v>
      </c>
      <c r="G58" s="380">
        <f>E58-F58</f>
        <v>12240</v>
      </c>
    </row>
    <row r="59">
      <c r="A59" s="378" t="n">
        <v>54</v>
      </c>
      <c r="B59" s="379">
        <f>IF(A59&lt;Inputs!$B$33,0,MAX(0,MIN(Inputs!$B$45,Inputs!$B$30-SUM($B$5:B58))))</f>
        <v>0</v>
      </c>
      <c r="C59" s="379">
        <f>SUMIFS($B$6:$B$101,$A$6:$A$101,"&gt;"&amp;A59,$A$6:$A$101,"&lt;="&amp;A59+Inputs!$B$32)</f>
        <v>0</v>
      </c>
      <c r="D59" s="379">
        <f>SUM($B$6:B59)</f>
        <v>72</v>
      </c>
      <c r="E59" s="380">
        <f>D59*Inputs!$B$31</f>
        <v>12240</v>
      </c>
      <c r="F59" s="380">
        <f>IFERROR(B59*('Rent Roll'!$B$16/Inputs!$B$13)*Inputs!$B$32,0)</f>
        <v>0</v>
      </c>
      <c r="G59" s="380">
        <f>E59-F59</f>
        <v>12240</v>
      </c>
    </row>
    <row r="60">
      <c r="A60" s="378" t="n">
        <v>55</v>
      </c>
      <c r="B60" s="379">
        <f>IF(A60&lt;Inputs!$B$33,0,MAX(0,MIN(Inputs!$B$45,Inputs!$B$30-SUM($B$5:B59))))</f>
        <v>0</v>
      </c>
      <c r="C60" s="379">
        <f>SUMIFS($B$6:$B$101,$A$6:$A$101,"&gt;"&amp;A60,$A$6:$A$101,"&lt;="&amp;A60+Inputs!$B$32)</f>
        <v>0</v>
      </c>
      <c r="D60" s="379">
        <f>SUM($B$6:B60)</f>
        <v>72</v>
      </c>
      <c r="E60" s="380">
        <f>D60*Inputs!$B$31</f>
        <v>12240</v>
      </c>
      <c r="F60" s="380">
        <f>IFERROR(B60*('Rent Roll'!$B$16/Inputs!$B$13)*Inputs!$B$32,0)</f>
        <v>0</v>
      </c>
      <c r="G60" s="380">
        <f>E60-F60</f>
        <v>12240</v>
      </c>
    </row>
    <row r="61">
      <c r="A61" s="378" t="n">
        <v>56</v>
      </c>
      <c r="B61" s="379">
        <f>IF(A61&lt;Inputs!$B$33,0,MAX(0,MIN(Inputs!$B$45,Inputs!$B$30-SUM($B$5:B60))))</f>
        <v>0</v>
      </c>
      <c r="C61" s="379">
        <f>SUMIFS($B$6:$B$101,$A$6:$A$101,"&gt;"&amp;A61,$A$6:$A$101,"&lt;="&amp;A61+Inputs!$B$32)</f>
        <v>0</v>
      </c>
      <c r="D61" s="379">
        <f>SUM($B$6:B61)</f>
        <v>72</v>
      </c>
      <c r="E61" s="380">
        <f>D61*Inputs!$B$31</f>
        <v>12240</v>
      </c>
      <c r="F61" s="380">
        <f>IFERROR(B61*('Rent Roll'!$B$16/Inputs!$B$13)*Inputs!$B$32,0)</f>
        <v>0</v>
      </c>
      <c r="G61" s="380">
        <f>E61-F61</f>
        <v>12240</v>
      </c>
    </row>
    <row r="62">
      <c r="A62" s="378" t="n">
        <v>57</v>
      </c>
      <c r="B62" s="379">
        <f>IF(A62&lt;Inputs!$B$33,0,MAX(0,MIN(Inputs!$B$45,Inputs!$B$30-SUM($B$5:B61))))</f>
        <v>0</v>
      </c>
      <c r="C62" s="379">
        <f>SUMIFS($B$6:$B$101,$A$6:$A$101,"&gt;"&amp;A62,$A$6:$A$101,"&lt;="&amp;A62+Inputs!$B$32)</f>
        <v>0</v>
      </c>
      <c r="D62" s="379">
        <f>SUM($B$6:B62)</f>
        <v>72</v>
      </c>
      <c r="E62" s="380">
        <f>D62*Inputs!$B$31</f>
        <v>12240</v>
      </c>
      <c r="F62" s="380">
        <f>IFERROR(B62*('Rent Roll'!$B$16/Inputs!$B$13)*Inputs!$B$32,0)</f>
        <v>0</v>
      </c>
      <c r="G62" s="380">
        <f>E62-F62</f>
        <v>12240</v>
      </c>
    </row>
    <row r="63">
      <c r="A63" s="378" t="n">
        <v>58</v>
      </c>
      <c r="B63" s="379">
        <f>IF(A63&lt;Inputs!$B$33,0,MAX(0,MIN(Inputs!$B$45,Inputs!$B$30-SUM($B$5:B62))))</f>
        <v>0</v>
      </c>
      <c r="C63" s="379">
        <f>SUMIFS($B$6:$B$101,$A$6:$A$101,"&gt;"&amp;A63,$A$6:$A$101,"&lt;="&amp;A63+Inputs!$B$32)</f>
        <v>0</v>
      </c>
      <c r="D63" s="379">
        <f>SUM($B$6:B63)</f>
        <v>72</v>
      </c>
      <c r="E63" s="380">
        <f>D63*Inputs!$B$31</f>
        <v>12240</v>
      </c>
      <c r="F63" s="380">
        <f>IFERROR(B63*('Rent Roll'!$B$16/Inputs!$B$13)*Inputs!$B$32,0)</f>
        <v>0</v>
      </c>
      <c r="G63" s="380">
        <f>E63-F63</f>
        <v>12240</v>
      </c>
    </row>
    <row r="64">
      <c r="A64" s="378" t="n">
        <v>59</v>
      </c>
      <c r="B64" s="379">
        <f>IF(A64&lt;Inputs!$B$33,0,MAX(0,MIN(Inputs!$B$45,Inputs!$B$30-SUM($B$5:B63))))</f>
        <v>0</v>
      </c>
      <c r="C64" s="379">
        <f>SUMIFS($B$6:$B$101,$A$6:$A$101,"&gt;"&amp;A64,$A$6:$A$101,"&lt;="&amp;A64+Inputs!$B$32)</f>
        <v>0</v>
      </c>
      <c r="D64" s="379">
        <f>SUM($B$6:B64)</f>
        <v>72</v>
      </c>
      <c r="E64" s="380">
        <f>D64*Inputs!$B$31</f>
        <v>12240</v>
      </c>
      <c r="F64" s="380">
        <f>IFERROR(B64*('Rent Roll'!$B$16/Inputs!$B$13)*Inputs!$B$32,0)</f>
        <v>0</v>
      </c>
      <c r="G64" s="380">
        <f>E64-F64</f>
        <v>12240</v>
      </c>
    </row>
    <row r="65">
      <c r="A65" s="378" t="n">
        <v>60</v>
      </c>
      <c r="B65" s="379">
        <f>IF(A65&lt;Inputs!$B$33,0,MAX(0,MIN(Inputs!$B$45,Inputs!$B$30-SUM($B$5:B64))))</f>
        <v>0</v>
      </c>
      <c r="C65" s="379">
        <f>SUMIFS($B$6:$B$101,$A$6:$A$101,"&gt;"&amp;A65,$A$6:$A$101,"&lt;="&amp;A65+Inputs!$B$32)</f>
        <v>0</v>
      </c>
      <c r="D65" s="379">
        <f>SUM($B$6:B65)</f>
        <v>72</v>
      </c>
      <c r="E65" s="380">
        <f>D65*Inputs!$B$31</f>
        <v>12240</v>
      </c>
      <c r="F65" s="380">
        <f>IFERROR(B65*('Rent Roll'!$B$16/Inputs!$B$13)*Inputs!$B$32,0)</f>
        <v>0</v>
      </c>
      <c r="G65" s="380">
        <f>E65-F65</f>
        <v>12240</v>
      </c>
    </row>
    <row r="66">
      <c r="A66" s="378" t="n">
        <v>61</v>
      </c>
      <c r="B66" s="379">
        <f>IF(A66&lt;Inputs!$B$33,0,MAX(0,MIN(Inputs!$B$45,Inputs!$B$30-SUM($B$5:B65))))</f>
        <v>0</v>
      </c>
      <c r="C66" s="379">
        <f>SUMIFS($B$6:$B$101,$A$6:$A$101,"&gt;"&amp;A66,$A$6:$A$101,"&lt;="&amp;A66+Inputs!$B$32)</f>
        <v>0</v>
      </c>
      <c r="D66" s="379">
        <f>SUM($B$6:B66)</f>
        <v>72</v>
      </c>
      <c r="E66" s="380">
        <f>D66*Inputs!$B$31</f>
        <v>12240</v>
      </c>
      <c r="F66" s="380">
        <f>IFERROR(B66*('Rent Roll'!$B$16/Inputs!$B$13)*Inputs!$B$32,0)</f>
        <v>0</v>
      </c>
      <c r="G66" s="380">
        <f>E66-F66</f>
        <v>12240</v>
      </c>
    </row>
    <row r="67">
      <c r="A67" s="378" t="n">
        <v>62</v>
      </c>
      <c r="B67" s="379">
        <f>IF(A67&lt;Inputs!$B$33,0,MAX(0,MIN(Inputs!$B$45,Inputs!$B$30-SUM($B$5:B66))))</f>
        <v>0</v>
      </c>
      <c r="C67" s="379">
        <f>SUMIFS($B$6:$B$101,$A$6:$A$101,"&gt;"&amp;A67,$A$6:$A$101,"&lt;="&amp;A67+Inputs!$B$32)</f>
        <v>0</v>
      </c>
      <c r="D67" s="379">
        <f>SUM($B$6:B67)</f>
        <v>72</v>
      </c>
      <c r="E67" s="380">
        <f>D67*Inputs!$B$31</f>
        <v>12240</v>
      </c>
      <c r="F67" s="380">
        <f>IFERROR(B67*('Rent Roll'!$B$16/Inputs!$B$13)*Inputs!$B$32,0)</f>
        <v>0</v>
      </c>
      <c r="G67" s="380">
        <f>E67-F67</f>
        <v>12240</v>
      </c>
    </row>
    <row r="68">
      <c r="A68" s="378" t="n">
        <v>63</v>
      </c>
      <c r="B68" s="379">
        <f>IF(A68&lt;Inputs!$B$33,0,MAX(0,MIN(Inputs!$B$45,Inputs!$B$30-SUM($B$5:B67))))</f>
        <v>0</v>
      </c>
      <c r="C68" s="379">
        <f>SUMIFS($B$6:$B$101,$A$6:$A$101,"&gt;"&amp;A68,$A$6:$A$101,"&lt;="&amp;A68+Inputs!$B$32)</f>
        <v>0</v>
      </c>
      <c r="D68" s="379">
        <f>SUM($B$6:B68)</f>
        <v>72</v>
      </c>
      <c r="E68" s="380">
        <f>D68*Inputs!$B$31</f>
        <v>12240</v>
      </c>
      <c r="F68" s="380">
        <f>IFERROR(B68*('Rent Roll'!$B$16/Inputs!$B$13)*Inputs!$B$32,0)</f>
        <v>0</v>
      </c>
      <c r="G68" s="380">
        <f>E68-F68</f>
        <v>12240</v>
      </c>
    </row>
    <row r="69">
      <c r="A69" s="378" t="n">
        <v>64</v>
      </c>
      <c r="B69" s="379">
        <f>IF(A69&lt;Inputs!$B$33,0,MAX(0,MIN(Inputs!$B$45,Inputs!$B$30-SUM($B$5:B68))))</f>
        <v>0</v>
      </c>
      <c r="C69" s="379">
        <f>SUMIFS($B$6:$B$101,$A$6:$A$101,"&gt;"&amp;A69,$A$6:$A$101,"&lt;="&amp;A69+Inputs!$B$32)</f>
        <v>0</v>
      </c>
      <c r="D69" s="379">
        <f>SUM($B$6:B69)</f>
        <v>72</v>
      </c>
      <c r="E69" s="380">
        <f>D69*Inputs!$B$31</f>
        <v>12240</v>
      </c>
      <c r="F69" s="380">
        <f>IFERROR(B69*('Rent Roll'!$B$16/Inputs!$B$13)*Inputs!$B$32,0)</f>
        <v>0</v>
      </c>
      <c r="G69" s="380">
        <f>E69-F69</f>
        <v>12240</v>
      </c>
    </row>
    <row r="70">
      <c r="A70" s="378" t="n">
        <v>65</v>
      </c>
      <c r="B70" s="379">
        <f>IF(A70&lt;Inputs!$B$33,0,MAX(0,MIN(Inputs!$B$45,Inputs!$B$30-SUM($B$5:B69))))</f>
        <v>0</v>
      </c>
      <c r="C70" s="379">
        <f>SUMIFS($B$6:$B$101,$A$6:$A$101,"&gt;"&amp;A70,$A$6:$A$101,"&lt;="&amp;A70+Inputs!$B$32)</f>
        <v>0</v>
      </c>
      <c r="D70" s="379">
        <f>SUM($B$6:B70)</f>
        <v>72</v>
      </c>
      <c r="E70" s="380">
        <f>D70*Inputs!$B$31</f>
        <v>12240</v>
      </c>
      <c r="F70" s="380">
        <f>IFERROR(B70*('Rent Roll'!$B$16/Inputs!$B$13)*Inputs!$B$32,0)</f>
        <v>0</v>
      </c>
      <c r="G70" s="380">
        <f>E70-F70</f>
        <v>12240</v>
      </c>
    </row>
    <row r="71">
      <c r="A71" s="378" t="n">
        <v>66</v>
      </c>
      <c r="B71" s="379">
        <f>IF(A71&lt;Inputs!$B$33,0,MAX(0,MIN(Inputs!$B$45,Inputs!$B$30-SUM($B$5:B70))))</f>
        <v>0</v>
      </c>
      <c r="C71" s="379">
        <f>SUMIFS($B$6:$B$101,$A$6:$A$101,"&gt;"&amp;A71,$A$6:$A$101,"&lt;="&amp;A71+Inputs!$B$32)</f>
        <v>0</v>
      </c>
      <c r="D71" s="379">
        <f>SUM($B$6:B71)</f>
        <v>72</v>
      </c>
      <c r="E71" s="380">
        <f>D71*Inputs!$B$31</f>
        <v>12240</v>
      </c>
      <c r="F71" s="380">
        <f>IFERROR(B71*('Rent Roll'!$B$16/Inputs!$B$13)*Inputs!$B$32,0)</f>
        <v>0</v>
      </c>
      <c r="G71" s="380">
        <f>E71-F71</f>
        <v>12240</v>
      </c>
    </row>
    <row r="72">
      <c r="A72" s="378" t="n">
        <v>67</v>
      </c>
      <c r="B72" s="379">
        <f>IF(A72&lt;Inputs!$B$33,0,MAX(0,MIN(Inputs!$B$45,Inputs!$B$30-SUM($B$5:B71))))</f>
        <v>0</v>
      </c>
      <c r="C72" s="379">
        <f>SUMIFS($B$6:$B$101,$A$6:$A$101,"&gt;"&amp;A72,$A$6:$A$101,"&lt;="&amp;A72+Inputs!$B$32)</f>
        <v>0</v>
      </c>
      <c r="D72" s="379">
        <f>SUM($B$6:B72)</f>
        <v>72</v>
      </c>
      <c r="E72" s="380">
        <f>D72*Inputs!$B$31</f>
        <v>12240</v>
      </c>
      <c r="F72" s="380">
        <f>IFERROR(B72*('Rent Roll'!$B$16/Inputs!$B$13)*Inputs!$B$32,0)</f>
        <v>0</v>
      </c>
      <c r="G72" s="380">
        <f>E72-F72</f>
        <v>12240</v>
      </c>
    </row>
    <row r="73">
      <c r="A73" s="378" t="n">
        <v>68</v>
      </c>
      <c r="B73" s="379">
        <f>IF(A73&lt;Inputs!$B$33,0,MAX(0,MIN(Inputs!$B$45,Inputs!$B$30-SUM($B$5:B72))))</f>
        <v>0</v>
      </c>
      <c r="C73" s="379">
        <f>SUMIFS($B$6:$B$101,$A$6:$A$101,"&gt;"&amp;A73,$A$6:$A$101,"&lt;="&amp;A73+Inputs!$B$32)</f>
        <v>0</v>
      </c>
      <c r="D73" s="379">
        <f>SUM($B$6:B73)</f>
        <v>72</v>
      </c>
      <c r="E73" s="380">
        <f>D73*Inputs!$B$31</f>
        <v>12240</v>
      </c>
      <c r="F73" s="380">
        <f>IFERROR(B73*('Rent Roll'!$B$16/Inputs!$B$13)*Inputs!$B$32,0)</f>
        <v>0</v>
      </c>
      <c r="G73" s="380">
        <f>E73-F73</f>
        <v>12240</v>
      </c>
    </row>
    <row r="74">
      <c r="A74" s="378" t="n">
        <v>69</v>
      </c>
      <c r="B74" s="379">
        <f>IF(A74&lt;Inputs!$B$33,0,MAX(0,MIN(Inputs!$B$45,Inputs!$B$30-SUM($B$5:B73))))</f>
        <v>0</v>
      </c>
      <c r="C74" s="379">
        <f>SUMIFS($B$6:$B$101,$A$6:$A$101,"&gt;"&amp;A74,$A$6:$A$101,"&lt;="&amp;A74+Inputs!$B$32)</f>
        <v>0</v>
      </c>
      <c r="D74" s="379">
        <f>SUM($B$6:B74)</f>
        <v>72</v>
      </c>
      <c r="E74" s="380">
        <f>D74*Inputs!$B$31</f>
        <v>12240</v>
      </c>
      <c r="F74" s="380">
        <f>IFERROR(B74*('Rent Roll'!$B$16/Inputs!$B$13)*Inputs!$B$32,0)</f>
        <v>0</v>
      </c>
      <c r="G74" s="380">
        <f>E74-F74</f>
        <v>12240</v>
      </c>
    </row>
    <row r="75">
      <c r="A75" s="378" t="n">
        <v>70</v>
      </c>
      <c r="B75" s="379">
        <f>IF(A75&lt;Inputs!$B$33,0,MAX(0,MIN(Inputs!$B$45,Inputs!$B$30-SUM($B$5:B74))))</f>
        <v>0</v>
      </c>
      <c r="C75" s="379">
        <f>SUMIFS($B$6:$B$101,$A$6:$A$101,"&gt;"&amp;A75,$A$6:$A$101,"&lt;="&amp;A75+Inputs!$B$32)</f>
        <v>0</v>
      </c>
      <c r="D75" s="379">
        <f>SUM($B$6:B75)</f>
        <v>72</v>
      </c>
      <c r="E75" s="380">
        <f>D75*Inputs!$B$31</f>
        <v>12240</v>
      </c>
      <c r="F75" s="380">
        <f>IFERROR(B75*('Rent Roll'!$B$16/Inputs!$B$13)*Inputs!$B$32,0)</f>
        <v>0</v>
      </c>
      <c r="G75" s="380">
        <f>E75-F75</f>
        <v>12240</v>
      </c>
    </row>
    <row r="76">
      <c r="A76" s="378" t="n">
        <v>71</v>
      </c>
      <c r="B76" s="379">
        <f>IF(A76&lt;Inputs!$B$33,0,MAX(0,MIN(Inputs!$B$45,Inputs!$B$30-SUM($B$5:B75))))</f>
        <v>0</v>
      </c>
      <c r="C76" s="379">
        <f>SUMIFS($B$6:$B$101,$A$6:$A$101,"&gt;"&amp;A76,$A$6:$A$101,"&lt;="&amp;A76+Inputs!$B$32)</f>
        <v>0</v>
      </c>
      <c r="D76" s="379">
        <f>SUM($B$6:B76)</f>
        <v>72</v>
      </c>
      <c r="E76" s="380">
        <f>D76*Inputs!$B$31</f>
        <v>12240</v>
      </c>
      <c r="F76" s="380">
        <f>IFERROR(B76*('Rent Roll'!$B$16/Inputs!$B$13)*Inputs!$B$32,0)</f>
        <v>0</v>
      </c>
      <c r="G76" s="380">
        <f>E76-F76</f>
        <v>12240</v>
      </c>
    </row>
    <row r="77">
      <c r="A77" s="378" t="n">
        <v>72</v>
      </c>
      <c r="B77" s="379">
        <f>IF(A77&lt;Inputs!$B$33,0,MAX(0,MIN(Inputs!$B$45,Inputs!$B$30-SUM($B$5:B76))))</f>
        <v>0</v>
      </c>
      <c r="C77" s="379">
        <f>SUMIFS($B$6:$B$101,$A$6:$A$101,"&gt;"&amp;A77,$A$6:$A$101,"&lt;="&amp;A77+Inputs!$B$32)</f>
        <v>0</v>
      </c>
      <c r="D77" s="379">
        <f>SUM($B$6:B77)</f>
        <v>72</v>
      </c>
      <c r="E77" s="380">
        <f>D77*Inputs!$B$31</f>
        <v>12240</v>
      </c>
      <c r="F77" s="380">
        <f>IFERROR(B77*('Rent Roll'!$B$16/Inputs!$B$13)*Inputs!$B$32,0)</f>
        <v>0</v>
      </c>
      <c r="G77" s="380">
        <f>E77-F77</f>
        <v>12240</v>
      </c>
    </row>
    <row r="78">
      <c r="A78" s="378" t="n">
        <v>73</v>
      </c>
      <c r="B78" s="379">
        <f>IF(A78&lt;Inputs!$B$33,0,MAX(0,MIN(Inputs!$B$45,Inputs!$B$30-SUM($B$5:B77))))</f>
        <v>0</v>
      </c>
      <c r="C78" s="379">
        <f>SUMIFS($B$6:$B$101,$A$6:$A$101,"&gt;"&amp;A78,$A$6:$A$101,"&lt;="&amp;A78+Inputs!$B$32)</f>
        <v>0</v>
      </c>
      <c r="D78" s="379">
        <f>SUM($B$6:B78)</f>
        <v>72</v>
      </c>
      <c r="E78" s="380">
        <f>D78*Inputs!$B$31</f>
        <v>12240</v>
      </c>
      <c r="F78" s="380">
        <f>IFERROR(B78*('Rent Roll'!$B$16/Inputs!$B$13)*Inputs!$B$32,0)</f>
        <v>0</v>
      </c>
      <c r="G78" s="380">
        <f>E78-F78</f>
        <v>12240</v>
      </c>
    </row>
    <row r="79">
      <c r="A79" s="378" t="n">
        <v>74</v>
      </c>
      <c r="B79" s="379">
        <f>IF(A79&lt;Inputs!$B$33,0,MAX(0,MIN(Inputs!$B$45,Inputs!$B$30-SUM($B$5:B78))))</f>
        <v>0</v>
      </c>
      <c r="C79" s="379">
        <f>SUMIFS($B$6:$B$101,$A$6:$A$101,"&gt;"&amp;A79,$A$6:$A$101,"&lt;="&amp;A79+Inputs!$B$32)</f>
        <v>0</v>
      </c>
      <c r="D79" s="379">
        <f>SUM($B$6:B79)</f>
        <v>72</v>
      </c>
      <c r="E79" s="380">
        <f>D79*Inputs!$B$31</f>
        <v>12240</v>
      </c>
      <c r="F79" s="380">
        <f>IFERROR(B79*('Rent Roll'!$B$16/Inputs!$B$13)*Inputs!$B$32,0)</f>
        <v>0</v>
      </c>
      <c r="G79" s="380">
        <f>E79-F79</f>
        <v>12240</v>
      </c>
    </row>
    <row r="80">
      <c r="A80" s="378" t="n">
        <v>75</v>
      </c>
      <c r="B80" s="379">
        <f>IF(A80&lt;Inputs!$B$33,0,MAX(0,MIN(Inputs!$B$45,Inputs!$B$30-SUM($B$5:B79))))</f>
        <v>0</v>
      </c>
      <c r="C80" s="379">
        <f>SUMIFS($B$6:$B$101,$A$6:$A$101,"&gt;"&amp;A80,$A$6:$A$101,"&lt;="&amp;A80+Inputs!$B$32)</f>
        <v>0</v>
      </c>
      <c r="D80" s="379">
        <f>SUM($B$6:B80)</f>
        <v>72</v>
      </c>
      <c r="E80" s="380">
        <f>D80*Inputs!$B$31</f>
        <v>12240</v>
      </c>
      <c r="F80" s="380">
        <f>IFERROR(B80*('Rent Roll'!$B$16/Inputs!$B$13)*Inputs!$B$32,0)</f>
        <v>0</v>
      </c>
      <c r="G80" s="380">
        <f>E80-F80</f>
        <v>12240</v>
      </c>
    </row>
    <row r="81">
      <c r="A81" s="378" t="n">
        <v>76</v>
      </c>
      <c r="B81" s="379">
        <f>IF(A81&lt;Inputs!$B$33,0,MAX(0,MIN(Inputs!$B$45,Inputs!$B$30-SUM($B$5:B80))))</f>
        <v>0</v>
      </c>
      <c r="C81" s="379">
        <f>SUMIFS($B$6:$B$101,$A$6:$A$101,"&gt;"&amp;A81,$A$6:$A$101,"&lt;="&amp;A81+Inputs!$B$32)</f>
        <v>0</v>
      </c>
      <c r="D81" s="379">
        <f>SUM($B$6:B81)</f>
        <v>72</v>
      </c>
      <c r="E81" s="380">
        <f>D81*Inputs!$B$31</f>
        <v>12240</v>
      </c>
      <c r="F81" s="380">
        <f>IFERROR(B81*('Rent Roll'!$B$16/Inputs!$B$13)*Inputs!$B$32,0)</f>
        <v>0</v>
      </c>
      <c r="G81" s="380">
        <f>E81-F81</f>
        <v>12240</v>
      </c>
    </row>
    <row r="82">
      <c r="A82" s="378" t="n">
        <v>77</v>
      </c>
      <c r="B82" s="379">
        <f>IF(A82&lt;Inputs!$B$33,0,MAX(0,MIN(Inputs!$B$45,Inputs!$B$30-SUM($B$5:B81))))</f>
        <v>0</v>
      </c>
      <c r="C82" s="379">
        <f>SUMIFS($B$6:$B$101,$A$6:$A$101,"&gt;"&amp;A82,$A$6:$A$101,"&lt;="&amp;A82+Inputs!$B$32)</f>
        <v>0</v>
      </c>
      <c r="D82" s="379">
        <f>SUM($B$6:B82)</f>
        <v>72</v>
      </c>
      <c r="E82" s="380">
        <f>D82*Inputs!$B$31</f>
        <v>12240</v>
      </c>
      <c r="F82" s="380">
        <f>IFERROR(B82*('Rent Roll'!$B$16/Inputs!$B$13)*Inputs!$B$32,0)</f>
        <v>0</v>
      </c>
      <c r="G82" s="380">
        <f>E82-F82</f>
        <v>12240</v>
      </c>
    </row>
    <row r="83">
      <c r="A83" s="378" t="n">
        <v>78</v>
      </c>
      <c r="B83" s="379">
        <f>IF(A83&lt;Inputs!$B$33,0,MAX(0,MIN(Inputs!$B$45,Inputs!$B$30-SUM($B$5:B82))))</f>
        <v>0</v>
      </c>
      <c r="C83" s="379">
        <f>SUMIFS($B$6:$B$101,$A$6:$A$101,"&gt;"&amp;A83,$A$6:$A$101,"&lt;="&amp;A83+Inputs!$B$32)</f>
        <v>0</v>
      </c>
      <c r="D83" s="379">
        <f>SUM($B$6:B83)</f>
        <v>72</v>
      </c>
      <c r="E83" s="380">
        <f>D83*Inputs!$B$31</f>
        <v>12240</v>
      </c>
      <c r="F83" s="380">
        <f>IFERROR(B83*('Rent Roll'!$B$16/Inputs!$B$13)*Inputs!$B$32,0)</f>
        <v>0</v>
      </c>
      <c r="G83" s="380">
        <f>E83-F83</f>
        <v>12240</v>
      </c>
    </row>
    <row r="84">
      <c r="A84" s="378" t="n">
        <v>79</v>
      </c>
      <c r="B84" s="379">
        <f>IF(A84&lt;Inputs!$B$33,0,MAX(0,MIN(Inputs!$B$45,Inputs!$B$30-SUM($B$5:B83))))</f>
        <v>0</v>
      </c>
      <c r="C84" s="379">
        <f>SUMIFS($B$6:$B$101,$A$6:$A$101,"&gt;"&amp;A84,$A$6:$A$101,"&lt;="&amp;A84+Inputs!$B$32)</f>
        <v>0</v>
      </c>
      <c r="D84" s="379">
        <f>SUM($B$6:B84)</f>
        <v>72</v>
      </c>
      <c r="E84" s="380">
        <f>D84*Inputs!$B$31</f>
        <v>12240</v>
      </c>
      <c r="F84" s="380">
        <f>IFERROR(B84*('Rent Roll'!$B$16/Inputs!$B$13)*Inputs!$B$32,0)</f>
        <v>0</v>
      </c>
      <c r="G84" s="380">
        <f>E84-F84</f>
        <v>12240</v>
      </c>
    </row>
    <row r="85">
      <c r="A85" s="378" t="n">
        <v>80</v>
      </c>
      <c r="B85" s="379">
        <f>IF(A85&lt;Inputs!$B$33,0,MAX(0,MIN(Inputs!$B$45,Inputs!$B$30-SUM($B$5:B84))))</f>
        <v>0</v>
      </c>
      <c r="C85" s="379">
        <f>SUMIFS($B$6:$B$101,$A$6:$A$101,"&gt;"&amp;A85,$A$6:$A$101,"&lt;="&amp;A85+Inputs!$B$32)</f>
        <v>0</v>
      </c>
      <c r="D85" s="379">
        <f>SUM($B$6:B85)</f>
        <v>72</v>
      </c>
      <c r="E85" s="380">
        <f>D85*Inputs!$B$31</f>
        <v>12240</v>
      </c>
      <c r="F85" s="380">
        <f>IFERROR(B85*('Rent Roll'!$B$16/Inputs!$B$13)*Inputs!$B$32,0)</f>
        <v>0</v>
      </c>
      <c r="G85" s="380">
        <f>E85-F85</f>
        <v>12240</v>
      </c>
    </row>
    <row r="86">
      <c r="A86" s="378" t="n">
        <v>81</v>
      </c>
      <c r="B86" s="379">
        <f>IF(A86&lt;Inputs!$B$33,0,MAX(0,MIN(Inputs!$B$45,Inputs!$B$30-SUM($B$5:B85))))</f>
        <v>0</v>
      </c>
      <c r="C86" s="379">
        <f>SUMIFS($B$6:$B$101,$A$6:$A$101,"&gt;"&amp;A86,$A$6:$A$101,"&lt;="&amp;A86+Inputs!$B$32)</f>
        <v>0</v>
      </c>
      <c r="D86" s="379">
        <f>SUM($B$6:B86)</f>
        <v>72</v>
      </c>
      <c r="E86" s="380">
        <f>D86*Inputs!$B$31</f>
        <v>12240</v>
      </c>
      <c r="F86" s="380">
        <f>IFERROR(B86*('Rent Roll'!$B$16/Inputs!$B$13)*Inputs!$B$32,0)</f>
        <v>0</v>
      </c>
      <c r="G86" s="380">
        <f>E86-F86</f>
        <v>12240</v>
      </c>
    </row>
    <row r="87">
      <c r="A87" s="378" t="n">
        <v>82</v>
      </c>
      <c r="B87" s="379">
        <f>IF(A87&lt;Inputs!$B$33,0,MAX(0,MIN(Inputs!$B$45,Inputs!$B$30-SUM($B$5:B86))))</f>
        <v>0</v>
      </c>
      <c r="C87" s="379">
        <f>SUMIFS($B$6:$B$101,$A$6:$A$101,"&gt;"&amp;A87,$A$6:$A$101,"&lt;="&amp;A87+Inputs!$B$32)</f>
        <v>0</v>
      </c>
      <c r="D87" s="379">
        <f>SUM($B$6:B87)</f>
        <v>72</v>
      </c>
      <c r="E87" s="380">
        <f>D87*Inputs!$B$31</f>
        <v>12240</v>
      </c>
      <c r="F87" s="380">
        <f>IFERROR(B87*('Rent Roll'!$B$16/Inputs!$B$13)*Inputs!$B$32,0)</f>
        <v>0</v>
      </c>
      <c r="G87" s="380">
        <f>E87-F87</f>
        <v>12240</v>
      </c>
    </row>
    <row r="88">
      <c r="A88" s="378" t="n">
        <v>83</v>
      </c>
      <c r="B88" s="379">
        <f>IF(A88&lt;Inputs!$B$33,0,MAX(0,MIN(Inputs!$B$45,Inputs!$B$30-SUM($B$5:B87))))</f>
        <v>0</v>
      </c>
      <c r="C88" s="379">
        <f>SUMIFS($B$6:$B$101,$A$6:$A$101,"&gt;"&amp;A88,$A$6:$A$101,"&lt;="&amp;A88+Inputs!$B$32)</f>
        <v>0</v>
      </c>
      <c r="D88" s="379">
        <f>SUM($B$6:B88)</f>
        <v>72</v>
      </c>
      <c r="E88" s="380">
        <f>D88*Inputs!$B$31</f>
        <v>12240</v>
      </c>
      <c r="F88" s="380">
        <f>IFERROR(B88*('Rent Roll'!$B$16/Inputs!$B$13)*Inputs!$B$32,0)</f>
        <v>0</v>
      </c>
      <c r="G88" s="380">
        <f>E88-F88</f>
        <v>12240</v>
      </c>
    </row>
    <row r="89">
      <c r="A89" s="378" t="n">
        <v>84</v>
      </c>
      <c r="B89" s="379">
        <f>IF(A89&lt;Inputs!$B$33,0,MAX(0,MIN(Inputs!$B$45,Inputs!$B$30-SUM($B$5:B88))))</f>
        <v>0</v>
      </c>
      <c r="C89" s="379">
        <f>SUMIFS($B$6:$B$101,$A$6:$A$101,"&gt;"&amp;A89,$A$6:$A$101,"&lt;="&amp;A89+Inputs!$B$32)</f>
        <v>0</v>
      </c>
      <c r="D89" s="379">
        <f>SUM($B$6:B89)</f>
        <v>72</v>
      </c>
      <c r="E89" s="380">
        <f>D89*Inputs!$B$31</f>
        <v>12240</v>
      </c>
      <c r="F89" s="380">
        <f>IFERROR(B89*('Rent Roll'!$B$16/Inputs!$B$13)*Inputs!$B$32,0)</f>
        <v>0</v>
      </c>
      <c r="G89" s="380">
        <f>E89-F89</f>
        <v>12240</v>
      </c>
    </row>
    <row r="90">
      <c r="A90" s="378" t="n">
        <v>85</v>
      </c>
      <c r="B90" s="379">
        <f>IF(A90&lt;Inputs!$B$33,0,MAX(0,MIN(Inputs!$B$45,Inputs!$B$30-SUM($B$5:B89))))</f>
        <v>0</v>
      </c>
      <c r="C90" s="379">
        <f>SUMIFS($B$6:$B$101,$A$6:$A$101,"&gt;"&amp;A90,$A$6:$A$101,"&lt;="&amp;A90+Inputs!$B$32)</f>
        <v>0</v>
      </c>
      <c r="D90" s="379">
        <f>SUM($B$6:B90)</f>
        <v>72</v>
      </c>
      <c r="E90" s="380">
        <f>D90*Inputs!$B$31</f>
        <v>12240</v>
      </c>
      <c r="F90" s="380">
        <f>IFERROR(B90*('Rent Roll'!$B$16/Inputs!$B$13)*Inputs!$B$32,0)</f>
        <v>0</v>
      </c>
      <c r="G90" s="380">
        <f>E90-F90</f>
        <v>12240</v>
      </c>
    </row>
    <row r="91">
      <c r="A91" s="378" t="n">
        <v>86</v>
      </c>
      <c r="B91" s="379">
        <f>IF(A91&lt;Inputs!$B$33,0,MAX(0,MIN(Inputs!$B$45,Inputs!$B$30-SUM($B$5:B90))))</f>
        <v>0</v>
      </c>
      <c r="C91" s="379">
        <f>SUMIFS($B$6:$B$101,$A$6:$A$101,"&gt;"&amp;A91,$A$6:$A$101,"&lt;="&amp;A91+Inputs!$B$32)</f>
        <v>0</v>
      </c>
      <c r="D91" s="379">
        <f>SUM($B$6:B91)</f>
        <v>72</v>
      </c>
      <c r="E91" s="380">
        <f>D91*Inputs!$B$31</f>
        <v>12240</v>
      </c>
      <c r="F91" s="380">
        <f>IFERROR(B91*('Rent Roll'!$B$16/Inputs!$B$13)*Inputs!$B$32,0)</f>
        <v>0</v>
      </c>
      <c r="G91" s="380">
        <f>E91-F91</f>
        <v>12240</v>
      </c>
    </row>
    <row r="92">
      <c r="A92" s="378" t="n">
        <v>87</v>
      </c>
      <c r="B92" s="379">
        <f>IF(A92&lt;Inputs!$B$33,0,MAX(0,MIN(Inputs!$B$45,Inputs!$B$30-SUM($B$5:B91))))</f>
        <v>0</v>
      </c>
      <c r="C92" s="379">
        <f>SUMIFS($B$6:$B$101,$A$6:$A$101,"&gt;"&amp;A92,$A$6:$A$101,"&lt;="&amp;A92+Inputs!$B$32)</f>
        <v>0</v>
      </c>
      <c r="D92" s="379">
        <f>SUM($B$6:B92)</f>
        <v>72</v>
      </c>
      <c r="E92" s="380">
        <f>D92*Inputs!$B$31</f>
        <v>12240</v>
      </c>
      <c r="F92" s="380">
        <f>IFERROR(B92*('Rent Roll'!$B$16/Inputs!$B$13)*Inputs!$B$32,0)</f>
        <v>0</v>
      </c>
      <c r="G92" s="380">
        <f>E92-F92</f>
        <v>12240</v>
      </c>
    </row>
    <row r="93">
      <c r="A93" s="378" t="n">
        <v>88</v>
      </c>
      <c r="B93" s="379">
        <f>IF(A93&lt;Inputs!$B$33,0,MAX(0,MIN(Inputs!$B$45,Inputs!$B$30-SUM($B$5:B92))))</f>
        <v>0</v>
      </c>
      <c r="C93" s="379">
        <f>SUMIFS($B$6:$B$101,$A$6:$A$101,"&gt;"&amp;A93,$A$6:$A$101,"&lt;="&amp;A93+Inputs!$B$32)</f>
        <v>0</v>
      </c>
      <c r="D93" s="379">
        <f>SUM($B$6:B93)</f>
        <v>72</v>
      </c>
      <c r="E93" s="380">
        <f>D93*Inputs!$B$31</f>
        <v>12240</v>
      </c>
      <c r="F93" s="380">
        <f>IFERROR(B93*('Rent Roll'!$B$16/Inputs!$B$13)*Inputs!$B$32,0)</f>
        <v>0</v>
      </c>
      <c r="G93" s="380">
        <f>E93-F93</f>
        <v>12240</v>
      </c>
    </row>
    <row r="94">
      <c r="A94" s="378" t="n">
        <v>89</v>
      </c>
      <c r="B94" s="379">
        <f>IF(A94&lt;Inputs!$B$33,0,MAX(0,MIN(Inputs!$B$45,Inputs!$B$30-SUM($B$5:B93))))</f>
        <v>0</v>
      </c>
      <c r="C94" s="379">
        <f>SUMIFS($B$6:$B$101,$A$6:$A$101,"&gt;"&amp;A94,$A$6:$A$101,"&lt;="&amp;A94+Inputs!$B$32)</f>
        <v>0</v>
      </c>
      <c r="D94" s="379">
        <f>SUM($B$6:B94)</f>
        <v>72</v>
      </c>
      <c r="E94" s="380">
        <f>D94*Inputs!$B$31</f>
        <v>12240</v>
      </c>
      <c r="F94" s="380">
        <f>IFERROR(B94*('Rent Roll'!$B$16/Inputs!$B$13)*Inputs!$B$32,0)</f>
        <v>0</v>
      </c>
      <c r="G94" s="380">
        <f>E94-F94</f>
        <v>12240</v>
      </c>
    </row>
    <row r="95">
      <c r="A95" s="378" t="n">
        <v>90</v>
      </c>
      <c r="B95" s="379">
        <f>IF(A95&lt;Inputs!$B$33,0,MAX(0,MIN(Inputs!$B$45,Inputs!$B$30-SUM($B$5:B94))))</f>
        <v>0</v>
      </c>
      <c r="C95" s="379">
        <f>SUMIFS($B$6:$B$101,$A$6:$A$101,"&gt;"&amp;A95,$A$6:$A$101,"&lt;="&amp;A95+Inputs!$B$32)</f>
        <v>0</v>
      </c>
      <c r="D95" s="379">
        <f>SUM($B$6:B95)</f>
        <v>72</v>
      </c>
      <c r="E95" s="380">
        <f>D95*Inputs!$B$31</f>
        <v>12240</v>
      </c>
      <c r="F95" s="380">
        <f>IFERROR(B95*('Rent Roll'!$B$16/Inputs!$B$13)*Inputs!$B$32,0)</f>
        <v>0</v>
      </c>
      <c r="G95" s="380">
        <f>E95-F95</f>
        <v>12240</v>
      </c>
    </row>
    <row r="96">
      <c r="A96" s="378" t="n">
        <v>91</v>
      </c>
      <c r="B96" s="379">
        <f>IF(A96&lt;Inputs!$B$33,0,MAX(0,MIN(Inputs!$B$45,Inputs!$B$30-SUM($B$5:B95))))</f>
        <v>0</v>
      </c>
      <c r="C96" s="379">
        <f>SUMIFS($B$6:$B$101,$A$6:$A$101,"&gt;"&amp;A96,$A$6:$A$101,"&lt;="&amp;A96+Inputs!$B$32)</f>
        <v>0</v>
      </c>
      <c r="D96" s="379">
        <f>SUM($B$6:B96)</f>
        <v>72</v>
      </c>
      <c r="E96" s="380">
        <f>D96*Inputs!$B$31</f>
        <v>12240</v>
      </c>
      <c r="F96" s="380">
        <f>IFERROR(B96*('Rent Roll'!$B$16/Inputs!$B$13)*Inputs!$B$32,0)</f>
        <v>0</v>
      </c>
      <c r="G96" s="380">
        <f>E96-F96</f>
        <v>12240</v>
      </c>
    </row>
    <row r="97">
      <c r="A97" s="378" t="n">
        <v>92</v>
      </c>
      <c r="B97" s="379">
        <f>IF(A97&lt;Inputs!$B$33,0,MAX(0,MIN(Inputs!$B$45,Inputs!$B$30-SUM($B$5:B96))))</f>
        <v>0</v>
      </c>
      <c r="C97" s="379">
        <f>SUMIFS($B$6:$B$101,$A$6:$A$101,"&gt;"&amp;A97,$A$6:$A$101,"&lt;="&amp;A97+Inputs!$B$32)</f>
        <v>0</v>
      </c>
      <c r="D97" s="379">
        <f>SUM($B$6:B97)</f>
        <v>72</v>
      </c>
      <c r="E97" s="380">
        <f>D97*Inputs!$B$31</f>
        <v>12240</v>
      </c>
      <c r="F97" s="380">
        <f>IFERROR(B97*('Rent Roll'!$B$16/Inputs!$B$13)*Inputs!$B$32,0)</f>
        <v>0</v>
      </c>
      <c r="G97" s="380">
        <f>E97-F97</f>
        <v>12240</v>
      </c>
    </row>
    <row r="98">
      <c r="A98" s="378" t="n">
        <v>93</v>
      </c>
      <c r="B98" s="379">
        <f>IF(A98&lt;Inputs!$B$33,0,MAX(0,MIN(Inputs!$B$45,Inputs!$B$30-SUM($B$5:B97))))</f>
        <v>0</v>
      </c>
      <c r="C98" s="379">
        <f>SUMIFS($B$6:$B$101,$A$6:$A$101,"&gt;"&amp;A98,$A$6:$A$101,"&lt;="&amp;A98+Inputs!$B$32)</f>
        <v>0</v>
      </c>
      <c r="D98" s="379">
        <f>SUM($B$6:B98)</f>
        <v>72</v>
      </c>
      <c r="E98" s="380">
        <f>D98*Inputs!$B$31</f>
        <v>12240</v>
      </c>
      <c r="F98" s="380">
        <f>IFERROR(B98*('Rent Roll'!$B$16/Inputs!$B$13)*Inputs!$B$32,0)</f>
        <v>0</v>
      </c>
      <c r="G98" s="380">
        <f>E98-F98</f>
        <v>12240</v>
      </c>
    </row>
    <row r="99">
      <c r="A99" s="378" t="n">
        <v>94</v>
      </c>
      <c r="B99" s="379">
        <f>IF(A99&lt;Inputs!$B$33,0,MAX(0,MIN(Inputs!$B$45,Inputs!$B$30-SUM($B$5:B98))))</f>
        <v>0</v>
      </c>
      <c r="C99" s="379">
        <f>SUMIFS($B$6:$B$101,$A$6:$A$101,"&gt;"&amp;A99,$A$6:$A$101,"&lt;="&amp;A99+Inputs!$B$32)</f>
        <v>0</v>
      </c>
      <c r="D99" s="379">
        <f>SUM($B$6:B99)</f>
        <v>72</v>
      </c>
      <c r="E99" s="380">
        <f>D99*Inputs!$B$31</f>
        <v>12240</v>
      </c>
      <c r="F99" s="380">
        <f>IFERROR(B99*('Rent Roll'!$B$16/Inputs!$B$13)*Inputs!$B$32,0)</f>
        <v>0</v>
      </c>
      <c r="G99" s="380">
        <f>E99-F99</f>
        <v>12240</v>
      </c>
    </row>
    <row r="100">
      <c r="A100" s="378" t="n">
        <v>95</v>
      </c>
      <c r="B100" s="379">
        <f>IF(A100&lt;Inputs!$B$33,0,MAX(0,MIN(Inputs!$B$45,Inputs!$B$30-SUM($B$5:B99))))</f>
        <v>0</v>
      </c>
      <c r="C100" s="379">
        <f>SUMIFS($B$6:$B$101,$A$6:$A$101,"&gt;"&amp;A100,$A$6:$A$101,"&lt;="&amp;A100+Inputs!$B$32)</f>
        <v>0</v>
      </c>
      <c r="D100" s="379">
        <f>SUM($B$6:B100)</f>
        <v>72</v>
      </c>
      <c r="E100" s="380">
        <f>D100*Inputs!$B$31</f>
        <v>12240</v>
      </c>
      <c r="F100" s="380">
        <f>IFERROR(B100*('Rent Roll'!$B$16/Inputs!$B$13)*Inputs!$B$32,0)</f>
        <v>0</v>
      </c>
      <c r="G100" s="380">
        <f>E100-F100</f>
        <v>12240</v>
      </c>
    </row>
    <row r="101">
      <c r="A101" s="378" t="n">
        <v>96</v>
      </c>
      <c r="B101" s="379">
        <f>IF(A101&lt;Inputs!$B$33,0,MAX(0,MIN(Inputs!$B$45,Inputs!$B$30-SUM($B$5:B100))))</f>
        <v>0</v>
      </c>
      <c r="C101" s="379">
        <f>SUMIFS($B$6:$B$101,$A$6:$A$101,"&gt;"&amp;A101,$A$6:$A$101,"&lt;="&amp;A101+Inputs!$B$32)</f>
        <v>0</v>
      </c>
      <c r="D101" s="379">
        <f>SUM($B$6:B101)</f>
        <v>72</v>
      </c>
      <c r="E101" s="380">
        <f>D101*Inputs!$B$31</f>
        <v>12240</v>
      </c>
      <c r="F101" s="380">
        <f>IFERROR(B101*('Rent Roll'!$B$16/Inputs!$B$13)*Inputs!$B$32,0)</f>
        <v>0</v>
      </c>
      <c r="G101" s="380">
        <f>E101-F101</f>
        <v>12240</v>
      </c>
    </row>
    <row r="102">
      <c r="B102" s="381" t="n"/>
      <c r="C102" s="381" t="n"/>
      <c r="D102" s="381" t="n"/>
      <c r="E102" s="381" t="n"/>
      <c r="F102" s="381" t="n"/>
      <c r="G102" s="381" t="n"/>
    </row>
    <row r="103">
      <c r="A103" s="382" t="inlineStr">
        <is>
          <t>Renovation Schedule Summary - months 1-96</t>
        </is>
      </c>
      <c r="B103" s="383" t="inlineStr">
        <is>
          <t>Net impact</t>
        </is>
      </c>
      <c r="C103" s="383" t="inlineStr">
        <is>
          <t>Gross premium</t>
        </is>
      </c>
      <c r="D103" s="383" t="inlineStr">
        <is>
          <t>Downtime charged</t>
        </is>
      </c>
      <c r="E103" s="383" t="inlineStr">
        <is>
          <t>Units online at year end</t>
        </is>
      </c>
      <c r="F103" s="384" t="n"/>
      <c r="G103" s="384" t="n"/>
    </row>
    <row r="104">
      <c r="A104" s="385" t="inlineStr">
        <is>
          <t>Year 1 Net Rent Impact</t>
        </is>
      </c>
      <c r="B104" s="386">
        <f>SUM(G6:G17)</f>
        <v>-5265.625</v>
      </c>
      <c r="C104" s="386">
        <f>SUM(E6:E17)</f>
        <v>56100</v>
      </c>
      <c r="D104" s="386">
        <f>SUM(F6:F17)</f>
        <v>61365.625</v>
      </c>
      <c r="E104" s="387">
        <f>D17</f>
        <v>60</v>
      </c>
      <c r="F104" s="381" t="n"/>
      <c r="G104" s="381" t="n"/>
    </row>
    <row r="105">
      <c r="A105" s="385" t="inlineStr">
        <is>
          <t>Year 2 Net Rent Impact</t>
        </is>
      </c>
      <c r="B105" s="386">
        <f>SUM(G18:G29)</f>
        <v>133586.875</v>
      </c>
      <c r="C105" s="386">
        <f>SUM(E18:E29)</f>
        <v>145860</v>
      </c>
      <c r="D105" s="386">
        <f>SUM(F18:F29)</f>
        <v>12273.125</v>
      </c>
      <c r="E105" s="387">
        <f>D29</f>
        <v>72</v>
      </c>
      <c r="F105" s="381" t="n"/>
      <c r="G105" s="381" t="n"/>
    </row>
    <row r="106">
      <c r="A106" s="385" t="inlineStr">
        <is>
          <t>Year 3 Net Rent Impact</t>
        </is>
      </c>
      <c r="B106" s="386">
        <f>SUM(G30:G41)</f>
        <v>146880</v>
      </c>
      <c r="C106" s="386">
        <f>SUM(E30:E41)</f>
        <v>146880</v>
      </c>
      <c r="D106" s="386">
        <f>SUM(F30:F41)</f>
        <v>0</v>
      </c>
      <c r="E106" s="387">
        <f>D41</f>
        <v>72</v>
      </c>
      <c r="F106" s="381" t="n"/>
      <c r="G106" s="381" t="n"/>
    </row>
    <row r="107">
      <c r="A107" s="385" t="inlineStr">
        <is>
          <t>Year 4 Net Rent Impact</t>
        </is>
      </c>
      <c r="B107" s="386">
        <f>SUM(G42:G53)</f>
        <v>146880</v>
      </c>
      <c r="C107" s="386">
        <f>SUM(E42:E53)</f>
        <v>146880</v>
      </c>
      <c r="D107" s="386">
        <f>SUM(F42:F53)</f>
        <v>0</v>
      </c>
      <c r="E107" s="387">
        <f>D53</f>
        <v>72</v>
      </c>
      <c r="F107" s="381" t="n"/>
      <c r="G107" s="381" t="n"/>
    </row>
    <row r="108">
      <c r="A108" s="385" t="inlineStr">
        <is>
          <t>Year 5 Net Rent Impact</t>
        </is>
      </c>
      <c r="B108" s="386">
        <f>SUM(G54:G65)</f>
        <v>146880</v>
      </c>
      <c r="C108" s="386">
        <f>SUM(E54:E65)</f>
        <v>146880</v>
      </c>
      <c r="D108" s="386">
        <f>SUM(F54:F65)</f>
        <v>0</v>
      </c>
      <c r="E108" s="387">
        <f>D65</f>
        <v>72</v>
      </c>
      <c r="F108" s="381" t="n"/>
      <c r="G108" s="381" t="n"/>
    </row>
    <row r="109">
      <c r="A109" s="385" t="inlineStr">
        <is>
          <t>Year 6 Net Rent Impact</t>
        </is>
      </c>
      <c r="B109" s="386">
        <f>SUM(G66:G77)</f>
        <v>146880</v>
      </c>
      <c r="C109" s="386">
        <f>SUM(E66:E77)</f>
        <v>146880</v>
      </c>
      <c r="D109" s="386">
        <f>SUM(F66:F77)</f>
        <v>0</v>
      </c>
      <c r="E109" s="387">
        <f>D77</f>
        <v>72</v>
      </c>
      <c r="F109" s="381" t="n"/>
      <c r="G109" s="381" t="n"/>
    </row>
    <row r="110">
      <c r="A110" s="385" t="inlineStr">
        <is>
          <t>Year 7 Net Rent Impact</t>
        </is>
      </c>
      <c r="B110" s="386">
        <f>SUM(G78:G89)</f>
        <v>146880</v>
      </c>
      <c r="C110" s="386">
        <f>SUM(E78:E89)</f>
        <v>146880</v>
      </c>
      <c r="D110" s="386">
        <f>SUM(F78:F89)</f>
        <v>0</v>
      </c>
      <c r="E110" s="387">
        <f>D89</f>
        <v>72</v>
      </c>
      <c r="F110" s="381" t="n"/>
      <c r="G110" s="381" t="n"/>
    </row>
    <row r="111">
      <c r="A111" s="385" t="inlineStr">
        <is>
          <t>Year 8 Net Rent Impact</t>
        </is>
      </c>
      <c r="B111" s="386">
        <f>SUM(G90:G101)</f>
        <v>146880</v>
      </c>
      <c r="C111" s="386">
        <f>SUM(E90:E101)</f>
        <v>146880</v>
      </c>
      <c r="D111" s="386">
        <f>SUM(F90:F101)</f>
        <v>0</v>
      </c>
      <c r="E111" s="387">
        <f>D101</f>
        <v>72</v>
      </c>
      <c r="F111" s="381" t="n"/>
      <c r="G111" s="381" t="n"/>
    </row>
    <row r="112">
      <c r="B112" s="381" t="n"/>
      <c r="C112" s="381" t="n"/>
      <c r="D112" s="381" t="n"/>
      <c r="E112" s="381" t="n"/>
      <c r="F112" s="381" t="n"/>
      <c r="G112" s="381" t="n"/>
    </row>
    <row r="113">
      <c r="A113" s="385" t="inlineStr">
        <is>
          <t>Months to complete the programme</t>
        </is>
      </c>
      <c r="B113" s="381">
        <f>IFERROR(MATCH(Inputs!$B$30,$D$6:$D$101,0),"more than 96")</f>
        <v>14</v>
      </c>
      <c r="C113" s="381" t="n"/>
      <c r="D113" s="381" t="n"/>
      <c r="E113" s="381" t="n"/>
      <c r="F113" s="381" t="n"/>
      <c r="G113" s="381" t="n"/>
    </row>
    <row r="114">
      <c r="A114" t="inlineStr">
        <is>
          <t>Stabilised annual gross premium (reference)</t>
        </is>
      </c>
      <c r="B114" s="388">
        <f>Inputs!$B$30*Inputs!$B$31*12</f>
        <v>146880</v>
      </c>
      <c r="C114" s="381" t="n"/>
      <c r="D114" s="381" t="n"/>
      <c r="E114" s="381" t="n"/>
      <c r="F114" s="381" t="n"/>
      <c r="G114" s="381" t="n"/>
    </row>
    <row r="115">
      <c r="A115" t="inlineStr">
        <is>
          <t>Year 1 rent downtime</t>
        </is>
      </c>
      <c r="B115" s="388">
        <f>SUM(F6:F17)</f>
        <v>61365.625</v>
      </c>
      <c r="C115" s="381" t="n"/>
      <c r="D115" s="381" t="n"/>
      <c r="E115" s="381" t="n"/>
      <c r="F115" s="381" t="n"/>
      <c r="G115" s="381" t="n"/>
    </row>
    <row r="116">
      <c r="A116" t="inlineStr">
        <is>
          <t>Total rent downtime, Years 1-8</t>
        </is>
      </c>
      <c r="B116" s="388">
        <f>SUM(F6:F101)</f>
        <v>73638.75</v>
      </c>
      <c r="C116" s="381" t="n"/>
      <c r="D116" s="381" t="n"/>
      <c r="E116" s="381" t="n"/>
      <c r="F116" s="381" t="n"/>
      <c r="G116" s="381" t="n"/>
    </row>
    <row r="117"/>
    <row r="118" ht="40" customHeight="1" s="234">
      <c r="A118" s="389" t="inlineStr">
        <is>
          <t>Each pro forma year now reads its own 12 months from the schedule above, so a slower pace genuinely delays the premium and keeps charging downtime while units are offline. If 'months to complete' exceeds the hold period, the programme never finishes inside the model and the exit NOI reflects that.</t>
        </is>
      </c>
    </row>
    <row r="119"/>
    <row r="120"/>
    <row r="121"/>
    <row r="122"/>
    <row r="123"/>
    <row r="124"/>
    <row r="125"/>
    <row r="126"/>
    <row r="127"/>
    <row r="128"/>
    <row r="129"/>
    <row r="130"/>
    <row r="131"/>
    <row r="132"/>
    <row r="133"/>
    <row r="134"/>
    <row r="135"/>
    <row r="136"/>
    <row r="137"/>
    <row r="138"/>
    <row r="139"/>
    <row r="140"/>
  </sheetData>
  <mergeCells count="2">
    <mergeCell ref="A1:D1"/>
    <mergeCell ref="A4:D4"/>
  </mergeCells>
  <conditionalFormatting sqref="A6:G116">
    <cfRule type="expression" priority="1" dxfId="4">
      <formula>$A$2=0</formula>
    </cfRule>
  </conditionalFormatting>
  <pageMargins left="0.7" right="0.7" top="0.75" bottom="0.75" header="0.3" footer="0.3"/>
</worksheet>
</file>

<file path=xl/worksheets/sheet8.xml><?xml version="1.0" encoding="utf-8"?>
<worksheet xmlns="http://schemas.openxmlformats.org/spreadsheetml/2006/main">
  <sheetPr>
    <tabColor rgb="FF14532D"/>
    <outlinePr summaryBelow="1" summaryRight="1"/>
    <pageSetUpPr/>
  </sheetPr>
  <dimension ref="A1:O41"/>
  <sheetViews>
    <sheetView showGridLines="0" zoomScale="90" workbookViewId="0">
      <pane xSplit="1" ySplit="5" topLeftCell="B6" activePane="bottomRight" state="frozen"/>
      <selection pane="topRight"/>
      <selection pane="bottomLeft"/>
      <selection pane="bottomRight" activeCell="A1" sqref="A1:I1"/>
    </sheetView>
  </sheetViews>
  <sheetFormatPr baseColWidth="8" defaultRowHeight="14.25"/>
  <cols>
    <col width="36" customWidth="1" style="234" min="1" max="1"/>
    <col width="16" customWidth="1" style="234" min="2" max="2"/>
    <col width="16" customWidth="1" style="248" min="3" max="4"/>
    <col width="15" customWidth="1" style="234" min="4" max="4"/>
    <col width="15" customWidth="1" style="234" min="5" max="9"/>
    <col width="15" customWidth="1" style="234" min="6" max="6"/>
    <col width="15" customWidth="1" style="234" min="7" max="7"/>
    <col width="15" customWidth="1" style="234" min="8" max="8"/>
    <col width="15" customWidth="1" style="234" min="9" max="9"/>
    <col width="15" customWidth="1" style="234" min="10" max="10"/>
    <col width="15" customWidth="1" style="234" min="11" max="11"/>
    <col width="3" customWidth="1" style="234" min="12" max="12"/>
    <col width="22" customWidth="1" style="234" min="13" max="13"/>
    <col width="14" customWidth="1" style="234" min="14" max="14"/>
    <col width="14" customWidth="1" style="234" min="15" max="15"/>
  </cols>
  <sheetData>
    <row r="1" ht="30" customHeight="1" s="234">
      <c r="A1" s="275" t="inlineStr">
        <is>
          <t>Eight-Year Pro Forma - Company Underwriting Case</t>
        </is>
      </c>
    </row>
    <row r="2" ht="21.95" customFormat="1" customHeight="1" s="248">
      <c r="A2" s="309">
        <f>D30</f>
        <v>484834.8818373657</v>
      </c>
      <c r="B2" s="310">
        <f>K30</f>
        <v>843140.9039159557</v>
      </c>
      <c r="C2" s="390">
        <f>D36</f>
        <v>0.04355095882059184</v>
      </c>
      <c r="D2" s="390">
        <f>E36</f>
        <v>0.10061882593926758</v>
      </c>
    </row>
    <row r="3" ht="12.95" customFormat="1" customHeight="1" s="248">
      <c r="A3" s="281" t="inlineStr">
        <is>
          <t>YEAR 1 NOI</t>
        </is>
      </c>
      <c r="B3" s="262" t="inlineStr">
        <is>
          <t>YEAR 8 NOI</t>
        </is>
      </c>
      <c r="C3" s="262" t="inlineStr">
        <is>
          <t>YEAR 1 CASH-ON-CASH</t>
        </is>
      </c>
      <c r="D3" s="262" t="inlineStr">
        <is>
          <t>YEAR 2 CASH-ON-CASH</t>
        </is>
      </c>
    </row>
    <row r="4" ht="36" customHeight="1" s="234">
      <c r="A4" s="391" t="inlineStr">
        <is>
          <t>Benchmark column sits at the right, just past Year 8: OUR number in $ per unit per YEAR. Blank = the model uses the T12-based figure. Enter a value and that line switches to benchmark x units from Year 1 on, then grows with expense growth. Turnover is the exception: it is entered on Inputs as $ per TURNED unit and converted here.</t>
        </is>
      </c>
    </row>
    <row r="5" ht="30" customHeight="1" s="234">
      <c r="A5" s="284" t="inlineStr">
        <is>
          <t>Line Item</t>
        </is>
      </c>
      <c r="B5" s="283" t="inlineStr">
        <is>
          <t>T12 / Source</t>
        </is>
      </c>
      <c r="C5" s="283" t="inlineStr">
        <is>
          <t>T12 $/Unit/Mo</t>
        </is>
      </c>
      <c r="D5" s="283" t="inlineStr">
        <is>
          <t>Year 1</t>
        </is>
      </c>
      <c r="E5" s="283" t="inlineStr">
        <is>
          <t>Year 2</t>
        </is>
      </c>
      <c r="F5" s="283" t="inlineStr">
        <is>
          <t>Year 3</t>
        </is>
      </c>
      <c r="G5" s="283" t="inlineStr">
        <is>
          <t>Year 4</t>
        </is>
      </c>
      <c r="H5" s="283" t="inlineStr">
        <is>
          <t>Year 5</t>
        </is>
      </c>
      <c r="I5" s="283" t="inlineStr">
        <is>
          <t>Year 6</t>
        </is>
      </c>
      <c r="J5" s="283" t="inlineStr">
        <is>
          <t>Year 7</t>
        </is>
      </c>
      <c r="K5" s="283" t="inlineStr">
        <is>
          <t>Year 8</t>
        </is>
      </c>
      <c r="L5" s="392" t="n"/>
      <c r="M5" s="283" t="inlineStr">
        <is>
          <t>Benchmark ($/Unit/Yr)</t>
        </is>
      </c>
      <c r="N5" s="393" t="inlineStr">
        <is>
          <t>Yr-1 $ / Unit</t>
        </is>
      </c>
      <c r="O5" s="393" t="inlineStr">
        <is>
          <t>Yr-1 % of EGI</t>
        </is>
      </c>
    </row>
    <row r="6" ht="28.5" customHeight="1" s="234">
      <c r="A6" s="289" t="inlineStr">
        <is>
          <t>Base Gross Potential Rent</t>
        </is>
      </c>
      <c r="B6" s="394">
        <f>'T12 Actuals'!$B$6</f>
        <v>1305600</v>
      </c>
      <c r="C6" s="395">
        <f>IFERROR(B6/Units/12,0)</f>
        <v>1133.3333333333333</v>
      </c>
      <c r="D6" s="396">
        <f>('Rent Roll'!$B$16*12)+('Rent Roll'!$B$15*12-'Rent Roll'!$B$16*12)*Inputs!$B$44</f>
        <v>1243920</v>
      </c>
      <c r="E6" s="396">
        <f>('Rent Roll'!$B$15*12)*(1+Inputs!$B$21)</f>
        <v>1348908.6</v>
      </c>
      <c r="F6" s="396">
        <f>E6*(1+Inputs!$B$21)</f>
        <v>1389375.8580000002</v>
      </c>
      <c r="G6" s="396">
        <f>F6*(1+Inputs!$B$21)</f>
        <v>1431057.1337400002</v>
      </c>
      <c r="H6" s="396">
        <f>G6*(1+Inputs!$B$21)</f>
        <v>1473988.8477522002</v>
      </c>
      <c r="I6" s="396">
        <f>H6*(1+Inputs!$B$21)</f>
        <v>1518208.5131847663</v>
      </c>
      <c r="J6" s="396">
        <f>I6*(1+Inputs!$B$21)</f>
        <v>1563754.7685803093</v>
      </c>
      <c r="K6" s="396">
        <f>J6*(1+Inputs!$B$21)</f>
        <v>1610667.4116377186</v>
      </c>
      <c r="M6" s="396" t="n"/>
      <c r="N6" s="397">
        <f>IFERROR($E6/Inputs!$B$13,"")</f>
        <v>14051.13125</v>
      </c>
      <c r="O6" s="398">
        <f>IFERROR($E6/$E$15,"")</f>
        <v>0.9157024441124854</v>
      </c>
    </row>
    <row r="7" ht="28.5" customHeight="1" s="234">
      <c r="A7" s="289" t="inlineStr">
        <is>
          <t>Value-Add Rent Impact, Net of Downtime</t>
        </is>
      </c>
      <c r="B7" s="394" t="n">
        <v>0</v>
      </c>
      <c r="C7" s="395">
        <f>IFERROR(B7/Units/12,0)</f>
        <v>0</v>
      </c>
      <c r="D7" s="396">
        <f>'Reno Pace'!$B$104</f>
        <v>-5265.625</v>
      </c>
      <c r="E7" s="396">
        <f>'Reno Pace'!$B$105</f>
        <v>133586.875</v>
      </c>
      <c r="F7" s="396">
        <f>'Reno Pace'!$B$106*(1+Inputs!$B$21)</f>
        <v>151286.4</v>
      </c>
      <c r="G7" s="396">
        <f>'Reno Pace'!$B$107*(1+Inputs!$B$21)^2</f>
        <v>155824.992</v>
      </c>
      <c r="H7" s="396">
        <f>'Reno Pace'!$B$108*(1+Inputs!$B$21)^3</f>
        <v>160499.74176</v>
      </c>
      <c r="I7" s="396">
        <f>'Reno Pace'!$B$109*(1+Inputs!$B$21)^4</f>
        <v>165314.7340128</v>
      </c>
      <c r="J7" s="396">
        <f>'Reno Pace'!$B$110*(1+Inputs!$B$21)^5</f>
        <v>170274.17603318402</v>
      </c>
      <c r="K7" s="396">
        <f>'Reno Pace'!$B$111*(1+Inputs!$B$21)^6</f>
        <v>175382.40131417953</v>
      </c>
      <c r="M7" s="396" t="n"/>
      <c r="N7" s="397">
        <f>IFERROR($E7/Inputs!$B$13,"")</f>
        <v>1391.5299479166667</v>
      </c>
      <c r="O7" s="398">
        <f>IFERROR($E7/$E$15,"")</f>
        <v>0.09068503821448619</v>
      </c>
    </row>
    <row r="8">
      <c r="A8" s="289" t="inlineStr">
        <is>
          <t>Adjusted Gross Potential Rent</t>
        </is>
      </c>
      <c r="B8" s="394">
        <f>B6+B7</f>
        <v>1305600</v>
      </c>
      <c r="C8" s="395">
        <f>IFERROR(B8/Units/12,0)</f>
        <v>1133.3333333333333</v>
      </c>
      <c r="D8" s="396">
        <f>D6+D7</f>
        <v>1238654.375</v>
      </c>
      <c r="E8" s="396">
        <f>E6+E7</f>
        <v>1482495.475</v>
      </c>
      <c r="F8" s="396">
        <f>F6+F7</f>
        <v>1540662.2580000001</v>
      </c>
      <c r="G8" s="396">
        <f>G6+G7</f>
        <v>1586882.1257400003</v>
      </c>
      <c r="H8" s="396">
        <f>H6+H7</f>
        <v>1634488.5895122</v>
      </c>
      <c r="I8" s="396">
        <f>I6+I7</f>
        <v>1683523.2471975663</v>
      </c>
      <c r="J8" s="396">
        <f>J6+J7</f>
        <v>1734028.9446134933</v>
      </c>
      <c r="K8" s="396">
        <f>K6+K7</f>
        <v>1786049.8129518982</v>
      </c>
      <c r="M8" s="396" t="n"/>
      <c r="N8" s="397">
        <f>IFERROR($E8/Inputs!$B$13,"")</f>
        <v>15442.661197916668</v>
      </c>
      <c r="O8" s="398">
        <f>IFERROR($E8/$E$15,"")</f>
        <v>1.0063874823269716</v>
      </c>
    </row>
    <row r="9" ht="28.5" customFormat="1" customHeight="1" s="248">
      <c r="A9" s="289" t="inlineStr">
        <is>
          <t>Vacancy % Assumed (1 - stabilized occupancy target)</t>
        </is>
      </c>
      <c r="B9" s="399">
        <f>Inputs!$B$25</f>
        <v>0.0625</v>
      </c>
      <c r="C9" s="400" t="n"/>
      <c r="D9" s="401">
        <f>1-StabilizedOccupancyTarget</f>
        <v>0.040000000000000036</v>
      </c>
      <c r="E9" s="401">
        <f>1-StabilizedOccupancyTarget</f>
        <v>0.040000000000000036</v>
      </c>
      <c r="F9" s="401">
        <f>1-StabilizedOccupancyTarget</f>
        <v>0.040000000000000036</v>
      </c>
      <c r="G9" s="401">
        <f>1-StabilizedOccupancyTarget</f>
        <v>0.040000000000000036</v>
      </c>
      <c r="H9" s="401">
        <f>1-StabilizedOccupancyTarget</f>
        <v>0.040000000000000036</v>
      </c>
      <c r="I9" s="401">
        <f>1-StabilizedOccupancyTarget</f>
        <v>0.040000000000000036</v>
      </c>
      <c r="J9" s="401">
        <f>1-StabilizedOccupancyTarget</f>
        <v>0.040000000000000036</v>
      </c>
      <c r="K9" s="401">
        <f>1-StabilizedOccupancyTarget</f>
        <v>0.040000000000000036</v>
      </c>
      <c r="M9" s="401" t="n"/>
    </row>
    <row r="10">
      <c r="A10" s="289" t="inlineStr">
        <is>
          <t>Vacancy Loss</t>
        </is>
      </c>
      <c r="B10" s="394">
        <f>'T12 Actuals'!$B$24</f>
        <v>-84900</v>
      </c>
      <c r="C10" s="395">
        <f>IFERROR(B10/Units/12,0)</f>
        <v>-73.69791666666667</v>
      </c>
      <c r="D10" s="396">
        <f>-D8*D9</f>
        <v>-49546.17500000005</v>
      </c>
      <c r="E10" s="396">
        <f>-E8*E9</f>
        <v>-59299.819000000054</v>
      </c>
      <c r="F10" s="396">
        <f>-F8*F9</f>
        <v>-61626.49032000006</v>
      </c>
      <c r="G10" s="396">
        <f>-G8*G9</f>
        <v>-63475.28502960007</v>
      </c>
      <c r="H10" s="396">
        <f>-H8*H9</f>
        <v>-65379.54358048806</v>
      </c>
      <c r="I10" s="396">
        <f>-I8*I9</f>
        <v>-67340.92988790272</v>
      </c>
      <c r="J10" s="396">
        <f>-J8*J9</f>
        <v>-69361.1577845398</v>
      </c>
      <c r="K10" s="396">
        <f>-K8*K9</f>
        <v>-71441.99251807599</v>
      </c>
      <c r="M10" s="396" t="n"/>
      <c r="N10" s="397">
        <f>IFERROR($E10/Inputs!$B$13,"")</f>
        <v>-617.7064479166672</v>
      </c>
      <c r="O10" s="398">
        <f>IFERROR($E10/$E$15,"")</f>
        <v>-0.040255499293078895</v>
      </c>
    </row>
    <row r="11" ht="28.5" customHeight="1" s="234">
      <c r="A11" s="289" t="inlineStr">
        <is>
          <t>Bad Debt</t>
        </is>
      </c>
      <c r="B11" s="394">
        <f>'T12 Actuals'!$B$25</f>
        <v>-12400</v>
      </c>
      <c r="C11" s="395">
        <f>IFERROR(B11/Units/12,0)</f>
        <v>-10.763888888888888</v>
      </c>
      <c r="D11" s="396">
        <f>-D8*Inputs!$B$24</f>
        <v>-24773.0875</v>
      </c>
      <c r="E11" s="396">
        <f>-E8*Inputs!$B$24</f>
        <v>-29649.9095</v>
      </c>
      <c r="F11" s="396">
        <f>-F8*Inputs!$B$24</f>
        <v>-30813.245160000002</v>
      </c>
      <c r="G11" s="396">
        <f>-G8*Inputs!$B$24</f>
        <v>-31737.642514800005</v>
      </c>
      <c r="H11" s="396">
        <f>-H8*Inputs!$B$24</f>
        <v>-32689.771790244</v>
      </c>
      <c r="I11" s="396">
        <f>-I8*Inputs!$B$24</f>
        <v>-33670.46494395133</v>
      </c>
      <c r="J11" s="396">
        <f>-J8*Inputs!$B$24</f>
        <v>-34680.57889226986</v>
      </c>
      <c r="K11" s="396">
        <f>-K8*Inputs!$B$24</f>
        <v>-35720.996259037966</v>
      </c>
      <c r="M11" s="396" t="n"/>
      <c r="N11" s="397">
        <f>IFERROR($E11/Inputs!$B$13,"")</f>
        <v>-308.85322395833333</v>
      </c>
      <c r="O11" s="398">
        <f>IFERROR($E11/$E$15,"")</f>
        <v>-0.02012774964653943</v>
      </c>
    </row>
    <row r="12" ht="28.5" customHeight="1" s="234">
      <c r="A12" s="289" t="inlineStr">
        <is>
          <t>Other Rental Deductions / Concessions</t>
        </is>
      </c>
      <c r="B12" s="394">
        <f>'T12 Actuals'!$B$26</f>
        <v>-11800</v>
      </c>
      <c r="C12" s="395">
        <f>IFERROR(B12/Units/12,0)</f>
        <v>-10.243055555555555</v>
      </c>
      <c r="D12" s="396">
        <f>-Inputs!$B$29</f>
        <v>-17433.333333333314</v>
      </c>
      <c r="E12" s="396">
        <f>D12*(1+Inputs!$B$21)</f>
        <v>-17956.333333333314</v>
      </c>
      <c r="F12" s="396">
        <f>E12*(1+Inputs!$B$21)</f>
        <v>-18495.023333333313</v>
      </c>
      <c r="G12" s="396">
        <f>F12*(1+Inputs!$B$21)</f>
        <v>-19049.87403333331</v>
      </c>
      <c r="H12" s="396">
        <f>G12*(1+Inputs!$B$21)</f>
        <v>-19621.370254333313</v>
      </c>
      <c r="I12" s="396">
        <f>H12*(1+Inputs!$B$21)</f>
        <v>-20210.011361963312</v>
      </c>
      <c r="J12" s="396">
        <f>I12*(1+Inputs!$B$21)</f>
        <v>-20816.31170282221</v>
      </c>
      <c r="K12" s="396">
        <f>J12*(1+Inputs!$B$21)</f>
        <v>-21440.80105390688</v>
      </c>
      <c r="M12" s="396" t="n"/>
      <c r="N12" s="397">
        <f>IFERROR($E12/Inputs!$B$13,"")</f>
        <v>-187.0451388888887</v>
      </c>
      <c r="O12" s="398">
        <f>IFERROR($E12/$E$15,"")</f>
        <v>-0.012189601519800383</v>
      </c>
    </row>
    <row r="13">
      <c r="A13" s="402" t="inlineStr">
        <is>
          <t>Net Rental Income</t>
        </is>
      </c>
      <c r="B13" s="403">
        <f>'T12 Actuals'!$B$8</f>
        <v>1139100</v>
      </c>
      <c r="C13" s="403">
        <f>IFERROR(B13/Units/12,0)</f>
        <v>988.8020833333334</v>
      </c>
      <c r="D13" s="403">
        <f>SUM(D8:D12)</f>
        <v>1146901.8191666668</v>
      </c>
      <c r="E13" s="403">
        <f>SUM(E8:E12)</f>
        <v>1375589.4531666667</v>
      </c>
      <c r="F13" s="403">
        <f>SUM(F8:F12)</f>
        <v>1429727.539186667</v>
      </c>
      <c r="G13" s="403">
        <f>SUM(G8:G12)</f>
        <v>1472619.364162267</v>
      </c>
      <c r="H13" s="403">
        <f>SUM(H8:H12)</f>
        <v>1516797.9438871348</v>
      </c>
      <c r="I13" s="403">
        <f>SUM(I8:I12)</f>
        <v>1562301.881003749</v>
      </c>
      <c r="J13" s="403">
        <f>SUM(J8:J12)</f>
        <v>1609170.9362338616</v>
      </c>
      <c r="K13" s="403">
        <f>SUM(K8:K12)</f>
        <v>1657446.0631208776</v>
      </c>
      <c r="L13" s="404" t="n"/>
      <c r="M13" s="403" t="n"/>
      <c r="N13" s="405">
        <f>IFERROR($E13/Inputs!$B$13,"")</f>
        <v>14329.056803819445</v>
      </c>
      <c r="O13" s="406">
        <f>IFERROR($E13/$E$15,"")</f>
        <v>0.9338146590214295</v>
      </c>
    </row>
    <row r="14">
      <c r="A14" s="289" t="inlineStr">
        <is>
          <t>Other Income</t>
        </is>
      </c>
      <c r="B14" s="394">
        <f>'T12 Actuals'!$B$9</f>
        <v>91900</v>
      </c>
      <c r="C14" s="395">
        <f>IFERROR(B14/Units/12,0)</f>
        <v>79.77430555555556</v>
      </c>
      <c r="D14" s="396">
        <f>(B14+AdditionalOtherIncome)*(1+Inputs!$B$21)</f>
        <v>94657</v>
      </c>
      <c r="E14" s="396">
        <f>D14*(1+Inputs!$B$21)</f>
        <v>97496.71</v>
      </c>
      <c r="F14" s="396">
        <f>E14*(1+Inputs!$B$21)</f>
        <v>100421.6113</v>
      </c>
      <c r="G14" s="396">
        <f>F14*(1+Inputs!$B$21)</f>
        <v>103434.25963900001</v>
      </c>
      <c r="H14" s="396">
        <f>G14*(1+Inputs!$B$21)</f>
        <v>106537.28742817002</v>
      </c>
      <c r="I14" s="396">
        <f>H14*(1+Inputs!$B$21)</f>
        <v>109733.40605101512</v>
      </c>
      <c r="J14" s="396">
        <f>I14*(1+Inputs!$B$21)</f>
        <v>113025.40823254557</v>
      </c>
      <c r="K14" s="396">
        <f>J14*(1+Inputs!$B$21)</f>
        <v>116416.17047952194</v>
      </c>
      <c r="M14" s="396" t="n"/>
      <c r="N14" s="397">
        <f>IFERROR($E14/Inputs!$B$13,"")</f>
        <v>1015.5907291666667</v>
      </c>
      <c r="O14" s="398">
        <f>IFERROR($E14/$E$15,"")</f>
        <v>0.06618534097857053</v>
      </c>
    </row>
    <row r="15">
      <c r="A15" s="402" t="inlineStr">
        <is>
          <t>Effective Gross Income</t>
        </is>
      </c>
      <c r="B15" s="403">
        <f>'T12 Actuals'!$B$10</f>
        <v>1231000</v>
      </c>
      <c r="C15" s="403">
        <f>IFERROR(B15/Units/12,0)</f>
        <v>1068.576388888889</v>
      </c>
      <c r="D15" s="403">
        <f>D13+D14</f>
        <v>1241558.8191666668</v>
      </c>
      <c r="E15" s="403">
        <f>E13+E14</f>
        <v>1473086.1631666666</v>
      </c>
      <c r="F15" s="403">
        <f>F13+F14</f>
        <v>1530149.150486667</v>
      </c>
      <c r="G15" s="403">
        <f>G13+G14</f>
        <v>1576053.623801267</v>
      </c>
      <c r="H15" s="403">
        <f>H13+H14</f>
        <v>1623335.2313153048</v>
      </c>
      <c r="I15" s="403">
        <f>I13+I14</f>
        <v>1672035.287054764</v>
      </c>
      <c r="J15" s="403">
        <f>J13+J14</f>
        <v>1722196.344466407</v>
      </c>
      <c r="K15" s="403">
        <f>K13+K14</f>
        <v>1773862.2336003995</v>
      </c>
      <c r="L15" s="404" t="n"/>
      <c r="M15" s="403" t="n"/>
      <c r="N15" s="405">
        <f>IFERROR($E15/Inputs!$B$13,"")</f>
        <v>15344.647532986111</v>
      </c>
      <c r="O15" s="406">
        <f>IFERROR($E15/$E$15,"")</f>
        <v>1</v>
      </c>
    </row>
    <row r="16">
      <c r="A16" s="289" t="inlineStr">
        <is>
          <t>Repairs &amp; Maintenance</t>
        </is>
      </c>
      <c r="B16" s="394">
        <f>'T12 Actuals'!$B$11</f>
        <v>70700</v>
      </c>
      <c r="C16" s="395">
        <f>IFERROR(B16/Units/12,0)</f>
        <v>61.37152777777778</v>
      </c>
      <c r="D16" s="396">
        <f>IF($M16&gt;0,$M16*Units,B16*(1+Inputs!$B$22))</f>
        <v>72000</v>
      </c>
      <c r="E16" s="396">
        <f>D16*(1+Inputs!$B$22)</f>
        <v>74160</v>
      </c>
      <c r="F16" s="396">
        <f>E16*(1+Inputs!$B$22)</f>
        <v>76384.8</v>
      </c>
      <c r="G16" s="396">
        <f>F16*(1+Inputs!$B$22)</f>
        <v>78676.34400000001</v>
      </c>
      <c r="H16" s="396">
        <f>G16*(1+Inputs!$B$22)</f>
        <v>81036.63432000001</v>
      </c>
      <c r="I16" s="396">
        <f>H16*(1+Inputs!$B$22)</f>
        <v>83467.73334960002</v>
      </c>
      <c r="J16" s="396">
        <f>I16*(1+Inputs!$B$22)</f>
        <v>85971.76535008803</v>
      </c>
      <c r="K16" s="396">
        <f>J16*(1+Inputs!$B$22)</f>
        <v>88550.91831059067</v>
      </c>
      <c r="M16" s="396" t="n">
        <v>750</v>
      </c>
      <c r="N16" s="397">
        <f>IFERROR($E16/Inputs!$B$13,"")</f>
        <v>772.5</v>
      </c>
      <c r="O16" s="398">
        <f>IFERROR($E16/$E$15,"")</f>
        <v>0.05034328734755039</v>
      </c>
    </row>
    <row r="17" customFormat="1" s="248">
      <c r="A17" s="289" t="inlineStr">
        <is>
          <t>Turnover Costs</t>
        </is>
      </c>
      <c r="B17" s="394">
        <f>'T12 Actuals'!$B$12</f>
        <v>26600</v>
      </c>
      <c r="C17" s="395">
        <f>IFERROR(B17/Units/12,0)</f>
        <v>23.090277777777775</v>
      </c>
      <c r="D17" s="396">
        <f>IF($M17&gt;0,$M17*Units,B17*(1+Inputs!$B$22))</f>
        <v>10559.999999999989</v>
      </c>
      <c r="E17" s="396">
        <f>D17*(1+Inputs!$B$22)</f>
        <v>10876.799999999988</v>
      </c>
      <c r="F17" s="396">
        <f>E17*(1+Inputs!$B$22)</f>
        <v>11203.103999999988</v>
      </c>
      <c r="G17" s="396">
        <f>F17*(1+Inputs!$B$22)</f>
        <v>11539.197119999988</v>
      </c>
      <c r="H17" s="396">
        <f>G17*(1+Inputs!$B$22)</f>
        <v>11885.373033599988</v>
      </c>
      <c r="I17" s="396">
        <f>H17*(1+Inputs!$B$22)</f>
        <v>12241.934224607989</v>
      </c>
      <c r="J17" s="396">
        <f>I17*(1+Inputs!$B$22)</f>
        <v>12609.192251346229</v>
      </c>
      <c r="K17" s="396">
        <f>J17*(1+Inputs!$B$22)</f>
        <v>12987.468018886615</v>
      </c>
      <c r="M17" s="396">
        <f>Inputs!$B$53*Inputs!$B$50</f>
        <v>109.99999999999989</v>
      </c>
      <c r="N17" s="397">
        <f>IFERROR($E17/Inputs!$B$13,"")</f>
        <v>113.29999999999988</v>
      </c>
      <c r="O17" s="398">
        <f>IFERROR($E17/$E$15,"")</f>
        <v>0.007383682144307383</v>
      </c>
    </row>
    <row r="18" customFormat="1" s="248">
      <c r="A18" s="289" t="inlineStr">
        <is>
          <t>Labor Costs (Payroll)</t>
        </is>
      </c>
      <c r="B18" s="394">
        <f>'T12 Actuals'!$B$13</f>
        <v>123000</v>
      </c>
      <c r="C18" s="395">
        <f>IFERROR(B18/Units/12,0)</f>
        <v>106.77083333333333</v>
      </c>
      <c r="D18" s="396">
        <f>IF($M18&gt;0,$M18*Units,B18*(1+Inputs!$B$22))</f>
        <v>120000</v>
      </c>
      <c r="E18" s="396">
        <f>D18*(1+Inputs!$B$22)</f>
        <v>123600</v>
      </c>
      <c r="F18" s="396">
        <f>E18*(1+Inputs!$B$22)</f>
        <v>127308</v>
      </c>
      <c r="G18" s="396">
        <f>F18*(1+Inputs!$B$22)</f>
        <v>131127.24</v>
      </c>
      <c r="H18" s="396">
        <f>G18*(1+Inputs!$B$22)</f>
        <v>135061.05719999998</v>
      </c>
      <c r="I18" s="396">
        <f>H18*(1+Inputs!$B$22)</f>
        <v>139112.888916</v>
      </c>
      <c r="J18" s="396">
        <f>I18*(1+Inputs!$B$22)</f>
        <v>143286.27558348</v>
      </c>
      <c r="K18" s="396">
        <f>J18*(1+Inputs!$B$22)</f>
        <v>147584.8638509844</v>
      </c>
      <c r="M18" s="396" t="n">
        <v>1250</v>
      </c>
      <c r="N18" s="397">
        <f>IFERROR($E18/Inputs!$B$13,"")</f>
        <v>1287.5</v>
      </c>
      <c r="O18" s="398">
        <f>IFERROR($E18/$E$15,"")</f>
        <v>0.08390547891258399</v>
      </c>
    </row>
    <row r="19" customFormat="1" s="248">
      <c r="A19" s="289" t="inlineStr">
        <is>
          <t>Advertising &amp; Promotions</t>
        </is>
      </c>
      <c r="B19" s="394">
        <f>'T12 Actuals'!$B$14</f>
        <v>15800</v>
      </c>
      <c r="C19" s="395">
        <f>IFERROR(B19/Units/12,0)</f>
        <v>13.715277777777779</v>
      </c>
      <c r="D19" s="396">
        <f>IF($M19&gt;0,$M19*Units,B19*(1+Inputs!$B$22))</f>
        <v>16274</v>
      </c>
      <c r="E19" s="396">
        <f>D19*(1+Inputs!$B$22)</f>
        <v>16762.22</v>
      </c>
      <c r="F19" s="396">
        <f>E19*(1+Inputs!$B$22)</f>
        <v>17265.086600000002</v>
      </c>
      <c r="G19" s="396">
        <f>F19*(1+Inputs!$B$22)</f>
        <v>17783.039198000002</v>
      </c>
      <c r="H19" s="396">
        <f>G19*(1+Inputs!$B$22)</f>
        <v>18316.530373940004</v>
      </c>
      <c r="I19" s="396">
        <f>H19*(1+Inputs!$B$22)</f>
        <v>18866.026285158205</v>
      </c>
      <c r="J19" s="396">
        <f>I19*(1+Inputs!$B$22)</f>
        <v>19432.00707371295</v>
      </c>
      <c r="K19" s="396">
        <f>J19*(1+Inputs!$B$22)</f>
        <v>20014.96728592434</v>
      </c>
      <c r="M19" s="396" t="n"/>
      <c r="N19" s="397">
        <f>IFERROR($E19/Inputs!$B$13,"")</f>
        <v>174.60645833333334</v>
      </c>
      <c r="O19" s="398">
        <f>IFERROR($E19/$E$15,"")</f>
        <v>0.011378981365194933</v>
      </c>
    </row>
    <row r="20" customFormat="1" s="248">
      <c r="A20" s="289" t="inlineStr">
        <is>
          <t>General &amp; Administrative</t>
        </is>
      </c>
      <c r="B20" s="394">
        <f>'T12 Actuals'!$B$15</f>
        <v>27700</v>
      </c>
      <c r="C20" s="395">
        <f>IFERROR(B20/Units/12,0)</f>
        <v>24.04513888888889</v>
      </c>
      <c r="D20" s="396">
        <f>IF($M20&gt;0,$M20*Units,B20*(1+Inputs!$B$22))</f>
        <v>28531</v>
      </c>
      <c r="E20" s="396">
        <f>D20*(1+Inputs!$B$22)</f>
        <v>29386.93</v>
      </c>
      <c r="F20" s="396">
        <f>E20*(1+Inputs!$B$22)</f>
        <v>30268.5379</v>
      </c>
      <c r="G20" s="396">
        <f>F20*(1+Inputs!$B$22)</f>
        <v>31176.594037</v>
      </c>
      <c r="H20" s="396">
        <f>G20*(1+Inputs!$B$22)</f>
        <v>32111.89185811</v>
      </c>
      <c r="I20" s="396">
        <f>H20*(1+Inputs!$B$22)</f>
        <v>33075.2486138533</v>
      </c>
      <c r="J20" s="396">
        <f>I20*(1+Inputs!$B$22)</f>
        <v>34067.5060722689</v>
      </c>
      <c r="K20" s="396">
        <f>J20*(1+Inputs!$B$22)</f>
        <v>35089.531254436966</v>
      </c>
      <c r="M20" s="396" t="n"/>
      <c r="N20" s="397">
        <f>IFERROR($E20/Inputs!$B$13,"")</f>
        <v>306.11385416666667</v>
      </c>
      <c r="O20" s="398">
        <f>IFERROR($E20/$E$15,"")</f>
        <v>0.019949226823791116</v>
      </c>
    </row>
    <row r="21" ht="42.75" customFormat="1" customHeight="1" s="248">
      <c r="A21" s="289" t="inlineStr">
        <is>
          <t>Other Controllable (unallocated)</t>
        </is>
      </c>
      <c r="B21" s="394">
        <f>'T12 Actuals'!$B$16-SUM(B16:B20)</f>
        <v>0</v>
      </c>
      <c r="C21" s="395">
        <f>IFERROR(B21/Units/12,0)</f>
        <v>0</v>
      </c>
      <c r="D21" s="396">
        <f>B21*(1+Inputs!$B$22)</f>
        <v>0</v>
      </c>
      <c r="E21" s="396">
        <f>D21*(1+Inputs!$B$22)</f>
        <v>0</v>
      </c>
      <c r="F21" s="396">
        <f>E21*(1+Inputs!$B$22)</f>
        <v>0</v>
      </c>
      <c r="G21" s="396">
        <f>F21*(1+Inputs!$B$22)</f>
        <v>0</v>
      </c>
      <c r="H21" s="396">
        <f>G21*(1+Inputs!$B$22)</f>
        <v>0</v>
      </c>
      <c r="I21" s="396">
        <f>H21*(1+Inputs!$B$22)</f>
        <v>0</v>
      </c>
      <c r="J21" s="396">
        <f>I21*(1+Inputs!$B$22)</f>
        <v>0</v>
      </c>
      <c r="K21" s="396">
        <f>J21*(1+Inputs!$B$22)</f>
        <v>0</v>
      </c>
      <c r="M21" s="396" t="n"/>
      <c r="N21" s="397">
        <f>IFERROR($E21/Inputs!$B$13,"")</f>
        <v>0</v>
      </c>
      <c r="O21" s="398">
        <f>IFERROR($E21/$E$15,"")</f>
        <v>0</v>
      </c>
    </row>
    <row r="22">
      <c r="A22" s="289" t="inlineStr">
        <is>
          <t>Utility Costs</t>
        </is>
      </c>
      <c r="B22" s="394">
        <f>'T12 Actuals'!$B$17</f>
        <v>121500</v>
      </c>
      <c r="C22" s="395">
        <f>IFERROR(B22/Units/12,0)</f>
        <v>105.46875</v>
      </c>
      <c r="D22" s="396">
        <f>IF($M22&gt;0,$M22*Units,B22*(1+Inputs!$B$22))</f>
        <v>125145</v>
      </c>
      <c r="E22" s="396">
        <f>D22*(1+Inputs!$B$22)</f>
        <v>128899.35</v>
      </c>
      <c r="F22" s="396">
        <f>E22*(1+Inputs!$B$22)</f>
        <v>132766.3305</v>
      </c>
      <c r="G22" s="396">
        <f>F22*(1+Inputs!$B$22)</f>
        <v>136749.32041500002</v>
      </c>
      <c r="H22" s="396">
        <f>G22*(1+Inputs!$B$22)</f>
        <v>140851.80002745002</v>
      </c>
      <c r="I22" s="396">
        <f>H22*(1+Inputs!$B$22)</f>
        <v>145077.35402827352</v>
      </c>
      <c r="J22" s="396">
        <f>I22*(1+Inputs!$B$22)</f>
        <v>149429.67464912173</v>
      </c>
      <c r="K22" s="396">
        <f>J22*(1+Inputs!$B$22)</f>
        <v>153912.5648885954</v>
      </c>
      <c r="M22" s="396" t="n"/>
      <c r="N22" s="397">
        <f>IFERROR($E22/Inputs!$B$13,"")</f>
        <v>1342.7015625000001</v>
      </c>
      <c r="O22" s="398">
        <f>IFERROR($E22/$E$15,"")</f>
        <v>0.08750292632096103</v>
      </c>
    </row>
    <row r="23">
      <c r="A23" s="289" t="inlineStr">
        <is>
          <t>Insurance and Bonds</t>
        </is>
      </c>
      <c r="B23" s="394">
        <f>'T12 Actuals'!$B$19</f>
        <v>91800</v>
      </c>
      <c r="C23" s="395">
        <f>IFERROR(B23/Units/12,0)</f>
        <v>79.6875</v>
      </c>
      <c r="D23" s="396">
        <f>IF($M23&gt;0,$M23*Units,B23*(1+Inputs!$B$22))</f>
        <v>105600</v>
      </c>
      <c r="E23" s="396">
        <f>D23*(1+Inputs!$B$22)</f>
        <v>108768</v>
      </c>
      <c r="F23" s="396">
        <f>E23*(1+Inputs!$B$22)</f>
        <v>112031.04000000001</v>
      </c>
      <c r="G23" s="396">
        <f>F23*(1+Inputs!$B$22)</f>
        <v>115391.97120000001</v>
      </c>
      <c r="H23" s="396">
        <f>G23*(1+Inputs!$B$22)</f>
        <v>118853.73033600002</v>
      </c>
      <c r="I23" s="396">
        <f>H23*(1+Inputs!$B$22)</f>
        <v>122419.34224608002</v>
      </c>
      <c r="J23" s="396">
        <f>I23*(1+Inputs!$B$22)</f>
        <v>126091.92251346243</v>
      </c>
      <c r="K23" s="396">
        <f>J23*(1+Inputs!$B$22)</f>
        <v>129874.6801888663</v>
      </c>
      <c r="M23" s="396" t="n">
        <v>1100</v>
      </c>
      <c r="N23" s="397">
        <f>IFERROR($E23/Inputs!$B$13,"")</f>
        <v>1133</v>
      </c>
      <c r="O23" s="398">
        <f>IFERROR($E23/$E$15,"")</f>
        <v>0.07383682144307391</v>
      </c>
    </row>
    <row r="24">
      <c r="A24" s="289" t="inlineStr">
        <is>
          <t>Property Taxes</t>
        </is>
      </c>
      <c r="B24" s="394">
        <f>'T12 Actuals'!$B$20</f>
        <v>165400</v>
      </c>
      <c r="C24" s="395">
        <f>IFERROR(B24/Units/12,0)</f>
        <v>143.57638888888889</v>
      </c>
      <c r="D24" s="396">
        <f>IF($M24&gt;0,$M24*Units,Tax!$B$22)</f>
        <v>183875.99637096774</v>
      </c>
      <c r="E24" s="396">
        <f>IF($M24&gt;0,D24*(1+Inputs!$B$23),Tax!$C$22)</f>
        <v>189392.27626209677</v>
      </c>
      <c r="F24" s="396">
        <f>IF($M24&gt;0,E24*(1+Inputs!$B$23),Tax!$D$22)</f>
        <v>195074.04454995968</v>
      </c>
      <c r="G24" s="396">
        <f>IF($M24&gt;0,F24*(1+Inputs!$B$23),Tax!$E$22)</f>
        <v>200926.26588645848</v>
      </c>
      <c r="H24" s="396">
        <f>IF($M24&gt;0,G24*(1+Inputs!$B$23),Tax!$F$22)</f>
        <v>206954.05386305225</v>
      </c>
      <c r="I24" s="396">
        <f>IF($M24&gt;0,H24*(1+Inputs!$B$23),Tax!$G$22)</f>
        <v>213162.67547894383</v>
      </c>
      <c r="J24" s="396">
        <f>IF($M24&gt;0,I24*(1+Inputs!$B$23),Tax!$H$22)</f>
        <v>219557.55574331214</v>
      </c>
      <c r="K24" s="396">
        <f>IF($M24&gt;0,J24*(1+Inputs!$B$23),Tax!$I$22)</f>
        <v>226144.28241561152</v>
      </c>
      <c r="M24" s="396" t="n"/>
      <c r="N24" s="397">
        <f>IFERROR($E24/Inputs!$B$13,"")</f>
        <v>1972.836211063508</v>
      </c>
      <c r="O24" s="398">
        <f>IFERROR($E24/$E$15,"")</f>
        <v>0.12856836280028835</v>
      </c>
    </row>
    <row r="25">
      <c r="A25" s="289" t="inlineStr">
        <is>
          <t>Other Property Expenses</t>
        </is>
      </c>
      <c r="B25" s="394">
        <f>'T12 Actuals'!$B$21</f>
        <v>22000</v>
      </c>
      <c r="C25" s="395">
        <f>IFERROR(B25/Units/12,0)</f>
        <v>19.09722222222222</v>
      </c>
      <c r="D25" s="396">
        <f>IF($M25&gt;0,$M25*Units,B25*(1+Inputs!$B$22))</f>
        <v>22660</v>
      </c>
      <c r="E25" s="396">
        <f>D25*(1+Inputs!$B$22)</f>
        <v>23339.8</v>
      </c>
      <c r="F25" s="396">
        <f>E25*(1+Inputs!$B$22)</f>
        <v>24039.994</v>
      </c>
      <c r="G25" s="396">
        <f>F25*(1+Inputs!$B$22)</f>
        <v>24761.19382</v>
      </c>
      <c r="H25" s="396">
        <f>G25*(1+Inputs!$B$22)</f>
        <v>25504.0296346</v>
      </c>
      <c r="I25" s="396">
        <f>H25*(1+Inputs!$B$22)</f>
        <v>26269.150523638</v>
      </c>
      <c r="J25" s="396">
        <f>I25*(1+Inputs!$B$22)</f>
        <v>27057.22503934714</v>
      </c>
      <c r="K25" s="396">
        <f>J25*(1+Inputs!$B$22)</f>
        <v>27868.941790527555</v>
      </c>
      <c r="M25" s="396" t="n"/>
      <c r="N25" s="397">
        <f>IFERROR($E25/Inputs!$B$13,"")</f>
        <v>243.12291666666667</v>
      </c>
      <c r="O25" s="398">
        <f>IFERROR($E25/$E$15,"")</f>
        <v>0.01584415126799294</v>
      </c>
    </row>
    <row r="26" ht="28.5" customFormat="1" customHeight="1" s="248">
      <c r="A26" s="289" t="inlineStr">
        <is>
          <t>Miscellaneous Expense (One-Time, Yr 1)</t>
        </is>
      </c>
      <c r="B26" s="407" t="n">
        <v>0</v>
      </c>
      <c r="C26" s="408">
        <f>IFERROR(B26/Units/12,0)</f>
        <v>0</v>
      </c>
      <c r="D26" s="409">
        <f>Inputs!$B$37</f>
        <v>10000</v>
      </c>
      <c r="E26" s="409">
        <f>0</f>
        <v>0</v>
      </c>
      <c r="F26" s="409">
        <f>0</f>
        <v>0</v>
      </c>
      <c r="G26" s="409">
        <f>0</f>
        <v>0</v>
      </c>
      <c r="H26" s="409">
        <f>0</f>
        <v>0</v>
      </c>
      <c r="I26" s="409">
        <f>0</f>
        <v>0</v>
      </c>
      <c r="J26" s="409">
        <f>0</f>
        <v>0</v>
      </c>
      <c r="K26" s="409">
        <f>0</f>
        <v>0</v>
      </c>
      <c r="M26" s="409" t="n"/>
      <c r="N26" s="397">
        <f>IFERROR($E26/Inputs!$B$13,"")</f>
        <v>0</v>
      </c>
      <c r="O26" s="398">
        <f>IFERROR($E26/$E$15,"")</f>
        <v>0</v>
      </c>
    </row>
    <row r="27">
      <c r="A27" s="289" t="inlineStr">
        <is>
          <t>Management Fee</t>
        </is>
      </c>
      <c r="B27" s="394">
        <f>'T12 Actuals'!$B$18</f>
        <v>43085</v>
      </c>
      <c r="C27" s="395">
        <f>IFERROR(B27/Units/12,0)</f>
        <v>37.40017361111111</v>
      </c>
      <c r="D27" s="396">
        <f>IF($M27&gt;0,$M27*Units,D15*Inputs!$B$27)</f>
        <v>37246.764575</v>
      </c>
      <c r="E27" s="396">
        <f>IF($M27&gt;0,D27*(1+Inputs!$B$22),E15*Inputs!$B$27)</f>
        <v>44192.584895</v>
      </c>
      <c r="F27" s="396">
        <f>IF($M27&gt;0,E27*(1+Inputs!$B$22),F15*Inputs!$B$27)</f>
        <v>45904.474514600006</v>
      </c>
      <c r="G27" s="396">
        <f>IF($M27&gt;0,F27*(1+Inputs!$B$22),G15*Inputs!$B$27)</f>
        <v>47281.60871403801</v>
      </c>
      <c r="H27" s="396">
        <f>IF($M27&gt;0,G27*(1+Inputs!$B$22),H15*Inputs!$B$27)</f>
        <v>48700.056939459144</v>
      </c>
      <c r="I27" s="396">
        <f>IF($M27&gt;0,H27*(1+Inputs!$B$22),I15*Inputs!$B$27)</f>
        <v>50161.05861164292</v>
      </c>
      <c r="J27" s="396">
        <f>IF($M27&gt;0,I27*(1+Inputs!$B$22),J15*Inputs!$B$27)</f>
        <v>51665.89033399221</v>
      </c>
      <c r="K27" s="396">
        <f>IF($M27&gt;0,J27*(1+Inputs!$B$22),K15*Inputs!$B$27)</f>
        <v>53215.867008011985</v>
      </c>
      <c r="M27" s="396" t="n"/>
      <c r="N27" s="397">
        <f>IFERROR($E27/Inputs!$B$13,"")</f>
        <v>460.33942598958333</v>
      </c>
      <c r="O27" s="398">
        <f>IFERROR($E27/$E$15,"")</f>
        <v>0.03</v>
      </c>
    </row>
    <row r="28">
      <c r="A28" s="289" t="inlineStr">
        <is>
          <t>Asset Management Fee</t>
        </is>
      </c>
      <c r="B28" s="394" t="n">
        <v>0</v>
      </c>
      <c r="C28" s="395">
        <f>IFERROR(B28/Units/12,0)</f>
        <v>0</v>
      </c>
      <c r="D28" s="396">
        <f>IF($M28&gt;0,$M28*Units,D15*Inputs!$B$28)</f>
        <v>24831.17638333334</v>
      </c>
      <c r="E28" s="396">
        <f>IF($M28&gt;0,D28*(1+Inputs!$B$22),E15*Inputs!$B$28)</f>
        <v>29461.723263333333</v>
      </c>
      <c r="F28" s="396">
        <f>IF($M28&gt;0,E28*(1+Inputs!$B$22),F15*Inputs!$B$28)</f>
        <v>30602.98300973334</v>
      </c>
      <c r="G28" s="396">
        <f>IF($M28&gt;0,F28*(1+Inputs!$B$22),G15*Inputs!$B$28)</f>
        <v>31521.07247602534</v>
      </c>
      <c r="H28" s="396">
        <f>IF($M28&gt;0,G28*(1+Inputs!$B$22),H15*Inputs!$B$28)</f>
        <v>32466.704626306095</v>
      </c>
      <c r="I28" s="396">
        <f>IF($M28&gt;0,H28*(1+Inputs!$B$22),I15*Inputs!$B$28)</f>
        <v>33440.705741095284</v>
      </c>
      <c r="J28" s="396">
        <f>IF($M28&gt;0,I28*(1+Inputs!$B$22),J15*Inputs!$B$28)</f>
        <v>34443.92688932814</v>
      </c>
      <c r="K28" s="396">
        <f>IF($M28&gt;0,J28*(1+Inputs!$B$22),K15*Inputs!$B$28)</f>
        <v>35477.24467200799</v>
      </c>
      <c r="M28" s="396" t="n"/>
      <c r="N28" s="397">
        <f>IFERROR($E28/Inputs!$B$13,"")</f>
        <v>306.8929506597222</v>
      </c>
      <c r="O28" s="398">
        <f>IFERROR($E28/$E$15,"")</f>
        <v>0.02</v>
      </c>
    </row>
    <row r="29">
      <c r="A29" s="402" t="inlineStr">
        <is>
          <t>Total Operating Expenses</t>
        </is>
      </c>
      <c r="B29" s="403">
        <f>'T12 Actuals'!$B$22</f>
        <v>707585</v>
      </c>
      <c r="C29" s="403">
        <f>IFERROR(B29/Units/12,0)</f>
        <v>614.2230902777777</v>
      </c>
      <c r="D29" s="403">
        <f>SUM(D16:D28)</f>
        <v>756723.9373293011</v>
      </c>
      <c r="E29" s="403">
        <f>SUM(E16:E28)</f>
        <v>778839.6844204302</v>
      </c>
      <c r="F29" s="403">
        <f>SUM(F16:F28)</f>
        <v>802848.395074293</v>
      </c>
      <c r="G29" s="403">
        <f>SUM(G16:G28)</f>
        <v>826933.8468665219</v>
      </c>
      <c r="H29" s="403">
        <f>SUM(H16:H28)</f>
        <v>851741.8622125176</v>
      </c>
      <c r="I29" s="403">
        <f>SUM(I16:I28)</f>
        <v>877294.1180188931</v>
      </c>
      <c r="J29" s="403">
        <f>SUM(J16:J28)</f>
        <v>903612.9414994599</v>
      </c>
      <c r="K29" s="403">
        <f>SUM(K16:K28)</f>
        <v>930721.3296844438</v>
      </c>
      <c r="L29" s="404" t="n"/>
      <c r="M29" s="403" t="n"/>
      <c r="N29" s="405">
        <f>IFERROR($E29/Inputs!$B$13,"")</f>
        <v>8112.913379379482</v>
      </c>
      <c r="O29" s="406">
        <f>IFERROR($E29/$E$15,"")</f>
        <v>0.5287129184257441</v>
      </c>
    </row>
    <row r="30">
      <c r="A30" s="410" t="inlineStr">
        <is>
          <t>Net Operating Income</t>
        </is>
      </c>
      <c r="B30" s="411">
        <f>'T12 Actuals'!$B$23</f>
        <v>523415</v>
      </c>
      <c r="C30" s="412">
        <f>IFERROR(B30/Units/12,0)</f>
        <v>454.3532986111111</v>
      </c>
      <c r="D30" s="413">
        <f>D15-D29</f>
        <v>484834.8818373657</v>
      </c>
      <c r="E30" s="413">
        <f>E15-E29</f>
        <v>694246.4787462364</v>
      </c>
      <c r="F30" s="413">
        <f>F15-F29</f>
        <v>727300.7554123739</v>
      </c>
      <c r="G30" s="413">
        <f>G15-G29</f>
        <v>749119.7769347451</v>
      </c>
      <c r="H30" s="413">
        <f>H15-H29</f>
        <v>771593.3691027871</v>
      </c>
      <c r="I30" s="413">
        <f>I15-I29</f>
        <v>794741.169035871</v>
      </c>
      <c r="J30" s="413">
        <f>J15-J29</f>
        <v>818583.4029669472</v>
      </c>
      <c r="K30" s="413">
        <f>K15-K29</f>
        <v>843140.9039159557</v>
      </c>
      <c r="L30" s="414" t="n"/>
      <c r="M30" s="413" t="n"/>
      <c r="N30" s="415">
        <f>IFERROR($E30/Inputs!$B$13,"")</f>
        <v>7231.73415360663</v>
      </c>
      <c r="O30" s="416">
        <f>IFERROR($E30/$E$15,"")</f>
        <v>0.47128708157425586</v>
      </c>
    </row>
    <row r="31">
      <c r="A31" s="289" t="inlineStr">
        <is>
          <t>NOI Margin</t>
        </is>
      </c>
      <c r="B31" s="417">
        <f>IFERROR(B30/B15,0)</f>
        <v>0.4251949634443542</v>
      </c>
      <c r="C31" s="417" t="n"/>
      <c r="D31" s="417">
        <f>IFERROR(D30/D15,0)</f>
        <v>0.39050496388305345</v>
      </c>
      <c r="E31" s="417">
        <f>IFERROR(E30/E15,0)</f>
        <v>0.47128708157425586</v>
      </c>
      <c r="F31" s="417">
        <f>IFERROR(F30/F15,0)</f>
        <v>0.4753136353936834</v>
      </c>
      <c r="G31" s="417">
        <f>IFERROR(G30/G15,0)</f>
        <v>0.4753136350322593</v>
      </c>
      <c r="H31" s="417">
        <f>IFERROR(H30/H15,0)</f>
        <v>0.47531363468136206</v>
      </c>
      <c r="I31" s="417">
        <f>IFERROR(I30/I15,0)</f>
        <v>0.47531363434068535</v>
      </c>
      <c r="J31" s="417">
        <f>IFERROR(J30/J15,0)</f>
        <v>0.47531363400993115</v>
      </c>
      <c r="K31" s="417">
        <f>IFERROR(K30/K15,0)</f>
        <v>0.47531363368881063</v>
      </c>
      <c r="M31" s="417" t="n"/>
    </row>
    <row r="32"/>
    <row r="33" ht="15" customHeight="1" s="234">
      <c r="A33" s="418" t="inlineStr">
        <is>
          <t>FINANCING &amp; CASH FLOW</t>
        </is>
      </c>
      <c r="B33" s="418" t="n"/>
      <c r="C33" s="418" t="n"/>
      <c r="D33" s="418" t="n"/>
      <c r="E33" s="418" t="n"/>
      <c r="F33" s="418" t="n"/>
      <c r="G33" s="418" t="n"/>
      <c r="H33" s="418" t="n"/>
      <c r="I33" s="418" t="n"/>
      <c r="J33" s="418" t="n"/>
      <c r="K33" s="418" t="n"/>
      <c r="L33" s="418" t="n"/>
      <c r="M33" s="418" t="n"/>
    </row>
    <row r="34">
      <c r="A34" t="inlineStr">
        <is>
          <t>Annual Mortgage Payment (Debt Service)</t>
        </is>
      </c>
      <c r="D34" s="419">
        <f>'Debt &amp; Exit'!$B$17</f>
        <v>325023.8306451613</v>
      </c>
      <c r="E34" s="419">
        <f>'Debt &amp; Exit'!$B$17</f>
        <v>325023.8306451613</v>
      </c>
      <c r="F34" s="419">
        <f>'Debt &amp; Exit'!$B$17</f>
        <v>325023.8306451613</v>
      </c>
      <c r="G34" s="419">
        <f>'Debt &amp; Exit'!$B$17</f>
        <v>325023.8306451613</v>
      </c>
      <c r="H34" s="419">
        <f>'Debt &amp; Exit'!$B$17</f>
        <v>325023.8306451613</v>
      </c>
      <c r="I34" s="419">
        <f>'Debt &amp; Exit'!$B$17</f>
        <v>325023.8306451613</v>
      </c>
      <c r="J34" s="419">
        <f>'Debt &amp; Exit'!$B$17</f>
        <v>325023.8306451613</v>
      </c>
      <c r="K34" s="419">
        <f>'Debt &amp; Exit'!$B$17</f>
        <v>325023.8306451613</v>
      </c>
      <c r="M34" s="419" t="n"/>
    </row>
    <row r="35">
      <c r="A35" s="404" t="inlineStr">
        <is>
          <t>Net Income After Debt Service</t>
        </is>
      </c>
      <c r="B35" s="404" t="n"/>
      <c r="C35" s="404" t="n"/>
      <c r="D35" s="420">
        <f>D30-D34</f>
        <v>159811.0511922044</v>
      </c>
      <c r="E35" s="420">
        <f>E30-E34</f>
        <v>369222.64810107514</v>
      </c>
      <c r="F35" s="420">
        <f>F30-F34</f>
        <v>402276.92476721265</v>
      </c>
      <c r="G35" s="420">
        <f>G30-G34</f>
        <v>424095.94628958387</v>
      </c>
      <c r="H35" s="420">
        <f>H30-H34</f>
        <v>446569.53845762584</v>
      </c>
      <c r="I35" s="420">
        <f>I30-I34</f>
        <v>469717.3383907098</v>
      </c>
      <c r="J35" s="420">
        <f>J30-J34</f>
        <v>493559.5723217859</v>
      </c>
      <c r="K35" s="420">
        <f>K30-K34</f>
        <v>518117.0732707944</v>
      </c>
      <c r="L35" s="404" t="n"/>
      <c r="M35" s="420" t="n"/>
    </row>
    <row r="36">
      <c r="A36" t="inlineStr">
        <is>
          <t>Cash-on-Cash Return %</t>
        </is>
      </c>
      <c r="D36" s="421">
        <f>D35/'Debt &amp; Exit'!$B$12</f>
        <v>0.04355095882059184</v>
      </c>
      <c r="E36" s="421">
        <f>E35/'Debt &amp; Exit'!$B$12</f>
        <v>0.10061882593926758</v>
      </c>
      <c r="F36" s="421">
        <f>F35/'Debt &amp; Exit'!$B$12</f>
        <v>0.10962662252900444</v>
      </c>
      <c r="G36" s="421">
        <f>G35/'Debt &amp; Exit'!$B$12</f>
        <v>0.1155726400336609</v>
      </c>
      <c r="H36" s="421">
        <f>H35/'Debt &amp; Exit'!$B$12</f>
        <v>0.12169703806345694</v>
      </c>
      <c r="I36" s="421">
        <f>I35/'Debt &amp; Exit'!$B$12</f>
        <v>0.12800516803414705</v>
      </c>
      <c r="J36" s="421">
        <f>J35/'Debt &amp; Exit'!$B$12</f>
        <v>0.1345025419039578</v>
      </c>
      <c r="K36" s="421">
        <f>K35/'Debt &amp; Exit'!$B$12</f>
        <v>0.14119483698986288</v>
      </c>
      <c r="M36" s="421" t="n"/>
    </row>
    <row r="37">
      <c r="A37" t="inlineStr">
        <is>
          <t>Replacement Reserves (below the line)</t>
        </is>
      </c>
      <c r="D37" s="419">
        <f>Inputs!$B$54*Units</f>
        <v>24000</v>
      </c>
      <c r="E37" s="419">
        <f>D37*(1+Inputs!$B$22)</f>
        <v>24720</v>
      </c>
      <c r="F37" s="419">
        <f>E37*(1+Inputs!$B$22)</f>
        <v>25461.600000000002</v>
      </c>
      <c r="G37" s="419">
        <f>F37*(1+Inputs!$B$22)</f>
        <v>26225.448000000004</v>
      </c>
      <c r="H37" s="419">
        <f>G37*(1+Inputs!$B$22)</f>
        <v>27012.211440000006</v>
      </c>
      <c r="I37" s="419">
        <f>H37*(1+Inputs!$B$22)</f>
        <v>27822.577783200006</v>
      </c>
      <c r="J37" s="419">
        <f>I37*(1+Inputs!$B$22)</f>
        <v>28657.255116696007</v>
      </c>
      <c r="K37" s="419">
        <f>J37*(1+Inputs!$B$22)</f>
        <v>29516.972770196888</v>
      </c>
    </row>
    <row r="38">
      <c r="A38" s="404" t="inlineStr">
        <is>
          <t>Net Cash Flow After Reserves</t>
        </is>
      </c>
      <c r="B38" s="404" t="n"/>
      <c r="C38" s="404" t="n"/>
      <c r="D38" s="420">
        <f>D35-D37</f>
        <v>135811.0511922044</v>
      </c>
      <c r="E38" s="420">
        <f>E35-E37</f>
        <v>344502.64810107514</v>
      </c>
      <c r="F38" s="420">
        <f>F35-F37</f>
        <v>376815.3247672127</v>
      </c>
      <c r="G38" s="420">
        <f>G35-G37</f>
        <v>397870.49828958383</v>
      </c>
      <c r="H38" s="420">
        <f>H35-H37</f>
        <v>419557.32701762585</v>
      </c>
      <c r="I38" s="420">
        <f>I35-I37</f>
        <v>441894.76060750976</v>
      </c>
      <c r="J38" s="420">
        <f>J35-J37</f>
        <v>464902.3172050899</v>
      </c>
      <c r="K38" s="420">
        <f>K35-K37</f>
        <v>488600.1005005975</v>
      </c>
      <c r="L38" s="404" t="n"/>
      <c r="M38" s="404" t="n"/>
    </row>
    <row r="39">
      <c r="A39" t="inlineStr">
        <is>
          <t>Cash-on-Cash After Reserves %</t>
        </is>
      </c>
      <c r="D39" s="421">
        <f>D38/'Debt &amp; Exit'!$B$12</f>
        <v>0.037010591280945804</v>
      </c>
      <c r="E39" s="421">
        <f>E38/'Debt &amp; Exit'!$B$12</f>
        <v>0.09388224737343216</v>
      </c>
      <c r="F39" s="421">
        <f>F38/'Debt &amp; Exit'!$B$12</f>
        <v>0.10268794660619399</v>
      </c>
      <c r="G39" s="421">
        <f>G38/'Debt &amp; Exit'!$B$12</f>
        <v>0.1084258038331661</v>
      </c>
      <c r="H39" s="421">
        <f>H38/'Debt &amp; Exit'!$B$12</f>
        <v>0.11433579677694732</v>
      </c>
      <c r="I39" s="421">
        <f>I38/'Debt &amp; Exit'!$B$12</f>
        <v>0.12042308950904214</v>
      </c>
      <c r="J39" s="421">
        <f>J38/'Debt &amp; Exit'!$B$12</f>
        <v>0.12669300102309972</v>
      </c>
      <c r="K39" s="421">
        <f>K38/'Debt &amp; Exit'!$B$12</f>
        <v>0.13315100988257905</v>
      </c>
    </row>
    <row r="40"/>
    <row r="41">
      <c r="A41" t="inlineStr">
        <is>
          <t>Reserves sit below NOI on purpose. NOI is what the purchase cap rate, the exit cap rate and every scenario value are applied to, so charging reserves into operating expenses would quietly change the price of the deal. The lines above show what the reserve costs in cash without touching that.</t>
        </is>
      </c>
    </row>
  </sheetData>
  <mergeCells count="2">
    <mergeCell ref="A4:K4"/>
    <mergeCell ref="A1:M1"/>
  </mergeCells>
  <pageMargins left="0.7" right="0.7" top="0.75" bottom="0.75" header="0.3" footer="0.3"/>
</worksheet>
</file>

<file path=xl/worksheets/sheet9.xml><?xml version="1.0" encoding="utf-8"?>
<worksheet xmlns="http://schemas.openxmlformats.org/spreadsheetml/2006/main">
  <sheetPr>
    <tabColor rgb="FF2F7D5B"/>
    <outlinePr summaryBelow="1" summaryRight="1"/>
    <pageSetUpPr/>
  </sheetPr>
  <dimension ref="A1:K28"/>
  <sheetViews>
    <sheetView showGridLines="0" zoomScale="90" workbookViewId="0">
      <selection activeCell="A1" sqref="A1:E1"/>
    </sheetView>
  </sheetViews>
  <sheetFormatPr baseColWidth="8" defaultRowHeight="14.25"/>
  <cols>
    <col width="30" customWidth="1" style="234" min="1" max="1"/>
    <col width="16" customWidth="1" style="234" min="2" max="2"/>
    <col width="15" customWidth="1" style="234" min="3" max="3"/>
    <col width="15" customWidth="1" style="234" min="4" max="7"/>
    <col width="15" customWidth="1" style="234" min="5" max="5"/>
    <col width="15" customWidth="1" style="234" min="6" max="6"/>
    <col width="15" customWidth="1" style="234" min="7" max="7"/>
    <col width="15" customWidth="1" style="234" min="8" max="8"/>
    <col width="15" customWidth="1" style="234" min="9" max="9"/>
    <col width="15" customWidth="1" style="234" min="10" max="10"/>
    <col width="58" customWidth="1" style="234" min="11" max="11"/>
  </cols>
  <sheetData>
    <row r="1" ht="30" customHeight="1" s="234">
      <c r="A1" s="275" t="inlineStr">
        <is>
          <t>Debt, Exit, and Returns</t>
        </is>
      </c>
    </row>
    <row r="2" ht="21.95" customFormat="1" customHeight="1" s="248">
      <c r="A2" s="309">
        <f>B6</f>
        <v>8442177.41935484</v>
      </c>
      <c r="B2" s="310">
        <f>B8</f>
        <v>5909524.193548387</v>
      </c>
      <c r="C2" s="311">
        <f>B25</f>
        <v>0.1904325573907768</v>
      </c>
      <c r="D2" s="422">
        <f>B26</f>
        <v>2.209921225120345</v>
      </c>
    </row>
    <row r="3" ht="12.95" customFormat="1" customHeight="1" s="248">
      <c r="A3" s="281" t="inlineStr">
        <is>
          <t>PURCHASE PRICE</t>
        </is>
      </c>
      <c r="B3" s="262" t="inlineStr">
        <is>
          <t>LOAN AMOUNT</t>
        </is>
      </c>
      <c r="C3" s="262" t="str">
        <f>"LEVERED IRR ("&amp;Inputs!$B$17&amp;"-YR)"</f>
        <v>LEVERED IRR (5-YR)</v>
      </c>
      <c r="D3" s="262" t="inlineStr">
        <is>
          <t>EQUITY MULTIPLE</t>
        </is>
      </c>
    </row>
    <row r="4" ht="8.1" customHeight="1" s="234"/>
    <row r="5" ht="15" customHeight="1" s="234">
      <c r="A5" s="283" t="inlineStr">
        <is>
          <t>Metric</t>
        </is>
      </c>
      <c r="B5" s="283" t="inlineStr">
        <is>
          <t>Amount</t>
        </is>
      </c>
      <c r="C5" s="283" t="inlineStr">
        <is>
          <t>Notes</t>
        </is>
      </c>
      <c r="D5" s="212" t="n"/>
      <c r="E5" s="212" t="n"/>
    </row>
    <row r="6" ht="42.75" customHeight="1" s="234">
      <c r="A6" s="347" t="inlineStr">
        <is>
          <t>Purchase Price</t>
        </is>
      </c>
      <c r="B6" s="303">
        <f>IF(Inputs!$B$6&gt;0,Inputs!$B$6,'T12 Actuals'!$B$23/Inputs!$B$14)</f>
        <v>8442177.41935484</v>
      </c>
      <c r="C6" s="362" t="inlineStr">
        <is>
          <t>T12 NOI / purchase cap, unless a manual override price is entered on Inputs (B30). price from actual T12 NOI.</t>
        </is>
      </c>
      <c r="D6" s="215" t="n"/>
      <c r="E6" s="215" t="n"/>
    </row>
    <row r="7" ht="28.5" customHeight="1" s="234">
      <c r="A7" s="347" t="inlineStr">
        <is>
          <t>Price Per Unit</t>
        </is>
      </c>
      <c r="B7" s="303">
        <f>IFERROR(B6/Inputs!$B$13,0)</f>
        <v>87939.34811827958</v>
      </c>
      <c r="C7" s="362" t="inlineStr">
        <is>
          <t>Purchase price / units. Market pricing check.</t>
        </is>
      </c>
      <c r="D7" s="215" t="n"/>
      <c r="E7" s="215" t="n"/>
    </row>
    <row r="8" ht="28.5" customHeight="1" s="234">
      <c r="A8" s="347" t="inlineStr">
        <is>
          <t>Loan Amount</t>
        </is>
      </c>
      <c r="B8" s="303">
        <f>B6*Inputs!$B$15</f>
        <v>5909524.193548387</v>
      </c>
      <c r="C8" s="362" t="inlineStr">
        <is>
          <t>Purchase price x 70% LTV. Debt sizing.</t>
        </is>
      </c>
      <c r="D8" s="215" t="n"/>
      <c r="E8" s="215" t="n"/>
    </row>
    <row r="9" ht="28.5" customHeight="1" s="234">
      <c r="A9" s="347" t="inlineStr">
        <is>
          <t>Equity Before Capex</t>
        </is>
      </c>
      <c r="B9" s="303">
        <f>B6-B8</f>
        <v>2532653.2258064523</v>
      </c>
      <c r="C9" s="362" t="inlineStr">
        <is>
          <t>Purchase price - loan amount. Base equity need.</t>
        </is>
      </c>
      <c r="D9" s="215" t="n"/>
      <c r="E9" s="215" t="n"/>
    </row>
    <row r="10" ht="28.5" customHeight="1" s="234">
      <c r="A10" s="347" t="inlineStr">
        <is>
          <t>Total Capex</t>
        </is>
      </c>
      <c r="B10" s="303">
        <f>Inputs!$B$36</f>
        <v>883600</v>
      </c>
      <c r="C10" s="362" t="inlineStr">
        <is>
          <t>Linked to Inputs total capex. Renovation/common budget.</t>
        </is>
      </c>
      <c r="D10" s="215" t="n"/>
      <c r="E10" s="215" t="n"/>
    </row>
    <row r="11" ht="42.75" customHeight="1" s="234">
      <c r="A11" s="347" t="inlineStr">
        <is>
          <t>Upfront Acquisition Closing Cost</t>
        </is>
      </c>
      <c r="B11" s="303">
        <f>B6*Inputs!$B$20</f>
        <v>253265.32258064518</v>
      </c>
      <c r="C11" s="362" t="inlineStr">
        <is>
          <t>Purchase price x 3%. Upfront acquisition closing cost.</t>
        </is>
      </c>
      <c r="D11" s="215" t="n"/>
      <c r="E11" s="215" t="n"/>
    </row>
    <row r="12" ht="57" customHeight="1" s="234">
      <c r="A12" s="347" t="inlineStr">
        <is>
          <t>Initial Equity Required</t>
        </is>
      </c>
      <c r="B12" s="303">
        <f>B6+B10+B11-B8</f>
        <v>3669518.548387097</v>
      </c>
      <c r="C12" s="362" t="inlineStr">
        <is>
          <t>Purchase price + capex + upfront closing cost - loan. Used as Year 0 cash outflow.</t>
        </is>
      </c>
      <c r="D12" s="215" t="n"/>
      <c r="E12" s="215" t="n"/>
    </row>
    <row r="13" ht="28.5" customHeight="1" s="234">
      <c r="A13" s="347" t="inlineStr">
        <is>
          <t>Gross Exit Value</t>
        </is>
      </c>
      <c r="B13" s="303">
        <f>INDEX('Pro Forma'!$D$30:$K$30,Inputs!$B$17)/Inputs!$B$18</f>
        <v>12859889.485046452</v>
      </c>
      <c r="C13" s="362" t="inlineStr">
        <is>
          <t>The hold-period year's NOI / exit cap rate. Change Hold Period on Inputs and the sale moves with it. Sale proceeds before costs.</t>
        </is>
      </c>
      <c r="D13" s="215" t="n"/>
      <c r="E13" s="215" t="n"/>
    </row>
    <row r="14" ht="42.75" customHeight="1" s="234">
      <c r="A14" s="347" t="inlineStr">
        <is>
          <t>Disposition Cost at Exit</t>
        </is>
      </c>
      <c r="B14" s="303">
        <f>B13*Inputs!$B$19</f>
        <v>642994.4742523227</v>
      </c>
      <c r="C14" s="362" t="inlineStr">
        <is>
          <t>Gross exit value x 5%. Closing cost subtracted at exit.</t>
        </is>
      </c>
      <c r="D14" s="215" t="n"/>
      <c r="E14" s="215" t="n"/>
    </row>
    <row r="15" ht="57" customHeight="1" s="234">
      <c r="A15" s="347" t="inlineStr">
        <is>
          <t>Loan Payoff</t>
        </is>
      </c>
      <c r="B15" s="303">
        <f>$B$18</f>
        <v>5909524.193548387</v>
      </c>
      <c r="C15" s="362" t="inlineStr">
        <is>
          <t>Loan balance at the end of the hold period; equals the original loan when interest-only.</t>
        </is>
      </c>
      <c r="D15" s="215" t="n"/>
      <c r="E15" s="215" t="n"/>
    </row>
    <row r="16" ht="42.75" customHeight="1" s="234">
      <c r="A16" s="347" t="inlineStr">
        <is>
          <t>Net Sale Proceeds</t>
        </is>
      </c>
      <c r="B16" s="303">
        <f>B13-B14-B15</f>
        <v>6307370.817245742</v>
      </c>
      <c r="C16" s="362" t="inlineStr">
        <is>
          <t>Gross exit value - disposition cost - loan payoff. Cash received at sale before final year cash flow.</t>
        </is>
      </c>
      <c r="D16" s="215" t="n"/>
      <c r="E16" s="215" t="n"/>
    </row>
    <row r="17" ht="15" customHeight="1" s="234">
      <c r="A17" s="59" t="inlineStr">
        <is>
          <t>Annual Debt Service (computed)</t>
        </is>
      </c>
      <c r="B17" s="423">
        <f>IF(Inputs!$B$46=0,$B$8*Inputs!$B$16,-PMT(Inputs!$B$16,Inputs!$B$46,$B$8))</f>
        <v>325023.8306451613</v>
      </c>
      <c r="C17" s="248" t="inlineStr">
        <is>
          <t>FIX #6: interest-only if amortization=0, else amortizing payment.</t>
        </is>
      </c>
      <c r="D17" s="248" t="n"/>
      <c r="E17" s="248" t="n"/>
    </row>
    <row r="18" ht="15" customHeight="1" s="234">
      <c r="A18" s="59" t="str">
        <f>CONCATENATE("Acq Loan Balance @ Exit (Yr ",Inputs!$B$17,")")</f>
        <v>Acq Loan Balance @ Exit (Yr 5)</v>
      </c>
      <c r="B18" s="423">
        <f>$B$8*(1+Inputs!$B$16)^Inputs!$B$17-$B$17*((1+Inputs!$B$16)^Inputs!$B$17-1)/Inputs!$B$16</f>
        <v>5909524.193548387</v>
      </c>
      <c r="C18" s="248" t="inlineStr">
        <is>
          <t>Remaining principal at sale; equals full loan when interest-only.</t>
        </is>
      </c>
      <c r="D18" s="248" t="n"/>
      <c r="E18" s="248" t="n"/>
    </row>
    <row r="19" ht="15" customHeight="1" s="234">
      <c r="A19" s="283" t="inlineStr">
        <is>
          <t>Metric</t>
        </is>
      </c>
      <c r="B19" s="283" t="inlineStr">
        <is>
          <t>Year 0</t>
        </is>
      </c>
      <c r="C19" s="283" t="inlineStr">
        <is>
          <t>Year 1</t>
        </is>
      </c>
      <c r="D19" s="283" t="inlineStr">
        <is>
          <t>Year 2</t>
        </is>
      </c>
      <c r="E19" s="283" t="inlineStr">
        <is>
          <t>Year 3</t>
        </is>
      </c>
      <c r="F19" s="283" t="inlineStr">
        <is>
          <t>Year 4</t>
        </is>
      </c>
      <c r="G19" s="283" t="inlineStr">
        <is>
          <t>Year 5</t>
        </is>
      </c>
      <c r="H19" s="283" t="inlineStr">
        <is>
          <t>Year 6</t>
        </is>
      </c>
      <c r="I19" s="283" t="inlineStr">
        <is>
          <t>Year 7</t>
        </is>
      </c>
      <c r="J19" s="283" t="inlineStr">
        <is>
          <t>Year 8</t>
        </is>
      </c>
      <c r="K19" s="283" t="inlineStr">
        <is>
          <t>How/Why</t>
        </is>
      </c>
    </row>
    <row r="20">
      <c r="A20" s="347" t="inlineStr">
        <is>
          <t>NOI</t>
        </is>
      </c>
      <c r="B20" s="303" t="n"/>
      <c r="C20" s="303">
        <f>'Pro Forma'!$D$30</f>
        <v>484834.8818373657</v>
      </c>
      <c r="D20" s="303">
        <f>'Pro Forma'!$E$30</f>
        <v>694246.4787462364</v>
      </c>
      <c r="E20" s="303">
        <f>'Pro Forma'!$F$30</f>
        <v>727300.7554123739</v>
      </c>
      <c r="F20" s="303">
        <f>'Pro Forma'!$G$30</f>
        <v>749119.7769347451</v>
      </c>
      <c r="G20" s="303">
        <f>'Pro Forma'!$H$30</f>
        <v>771593.3691027871</v>
      </c>
      <c r="H20" s="303">
        <f>'Pro Forma'!$I$30</f>
        <v>794741.169035871</v>
      </c>
      <c r="I20" s="303">
        <f>'Pro Forma'!$J$30</f>
        <v>818583.4029669472</v>
      </c>
      <c r="J20" s="303">
        <f>'Pro Forma'!$K$30</f>
        <v>843140.9039159557</v>
      </c>
      <c r="K20" s="303" t="inlineStr">
        <is>
          <t>Linked from the Pro Forma, Years 1-8.</t>
        </is>
      </c>
    </row>
    <row r="21">
      <c r="A21" s="347" t="inlineStr">
        <is>
          <t>Debt Service</t>
        </is>
      </c>
      <c r="B21" s="303" t="n"/>
      <c r="C21" s="303">
        <f>IF(Inputs!$B$17&gt;=1,$B$17,0)</f>
        <v>325023.8306451613</v>
      </c>
      <c r="D21" s="303">
        <f>IF(Inputs!$B$17&gt;=2,$B$17,0)</f>
        <v>325023.8306451613</v>
      </c>
      <c r="E21" s="303">
        <f>IF(Inputs!$B$17&gt;=3,$B$17,0)</f>
        <v>325023.8306451613</v>
      </c>
      <c r="F21" s="303">
        <f>IF(Inputs!$B$17&gt;=4,$B$17,0)</f>
        <v>325023.8306451613</v>
      </c>
      <c r="G21" s="303">
        <f>IF(Inputs!$B$17&gt;=5,$B$17,0)</f>
        <v>325023.8306451613</v>
      </c>
      <c r="H21" s="303">
        <f>IF(Inputs!$B$17&gt;=6,$B$17,0)</f>
        <v>0</v>
      </c>
      <c r="I21" s="303">
        <f>IF(Inputs!$B$17&gt;=7,$B$17,0)</f>
        <v>0</v>
      </c>
      <c r="J21" s="303">
        <f>IF(Inputs!$B$17&gt;=8,$B$17,0)</f>
        <v>0</v>
      </c>
      <c r="K21" s="303" t="inlineStr">
        <is>
          <t>Acquisition debt service; zero once the hold period is over.</t>
        </is>
      </c>
    </row>
    <row r="22">
      <c r="A22" s="347" t="inlineStr">
        <is>
          <t>Cash Flow After Debt</t>
        </is>
      </c>
      <c r="B22" s="303" t="n"/>
      <c r="C22" s="303">
        <f>IF(Inputs!$B$17&gt;=1,C20-C21,0)</f>
        <v>159811.0511922044</v>
      </c>
      <c r="D22" s="303">
        <f>IF(Inputs!$B$17&gt;=2,D20-D21,0)</f>
        <v>369222.64810107514</v>
      </c>
      <c r="E22" s="303">
        <f>IF(Inputs!$B$17&gt;=3,E20-E21,0)</f>
        <v>402276.92476721265</v>
      </c>
      <c r="F22" s="303">
        <f>IF(Inputs!$B$17&gt;=4,F20-F21,0)</f>
        <v>424095.94628958387</v>
      </c>
      <c r="G22" s="303">
        <f>IF(Inputs!$B$17&gt;=5,G20-G21,0)</f>
        <v>446569.53845762584</v>
      </c>
      <c r="H22" s="303">
        <f>IF(Inputs!$B$17&gt;=6,H20-H21,0)</f>
        <v>0</v>
      </c>
      <c r="I22" s="303">
        <f>IF(Inputs!$B$17&gt;=7,I20-I21,0)</f>
        <v>0</v>
      </c>
      <c r="J22" s="303">
        <f>IF(Inputs!$B$17&gt;=8,J20-J21,0)</f>
        <v>0</v>
      </c>
      <c r="K22" s="303" t="inlineStr">
        <is>
          <t>NOI less debt service, through the hold period only.</t>
        </is>
      </c>
    </row>
    <row r="23">
      <c r="A23" s="347" t="inlineStr">
        <is>
          <t>Sale Proceeds</t>
        </is>
      </c>
      <c r="B23" s="303" t="n"/>
      <c r="C23" s="303">
        <f>IF(Inputs!$B$17=1,$B$16,0)</f>
        <v>0</v>
      </c>
      <c r="D23" s="303">
        <f>IF(Inputs!$B$17=2,$B$16,0)</f>
        <v>0</v>
      </c>
      <c r="E23" s="303">
        <f>IF(Inputs!$B$17=3,$B$16,0)</f>
        <v>0</v>
      </c>
      <c r="F23" s="303">
        <f>IF(Inputs!$B$17=4,$B$16,0)</f>
        <v>0</v>
      </c>
      <c r="G23" s="303">
        <f>IF(Inputs!$B$17=5,$B$16,0)</f>
        <v>6307370.817245742</v>
      </c>
      <c r="H23" s="303">
        <f>IF(Inputs!$B$17=6,$B$16,0)</f>
        <v>0</v>
      </c>
      <c r="I23" s="303">
        <f>IF(Inputs!$B$17=7,$B$16,0)</f>
        <v>0</v>
      </c>
      <c r="J23" s="303">
        <f>IF(Inputs!$B$17=8,$B$16,0)</f>
        <v>0</v>
      </c>
      <c r="K23" s="303" t="inlineStr">
        <is>
          <t>Net sale proceeds, in whichever year the Inputs hold period says.</t>
        </is>
      </c>
    </row>
    <row r="24" ht="27.95" customHeight="1" s="234">
      <c r="A24" s="347" t="inlineStr">
        <is>
          <t>Total Cash Flow</t>
        </is>
      </c>
      <c r="B24" s="303">
        <f>-$B$12</f>
        <v>-3669518.548387097</v>
      </c>
      <c r="C24" s="303">
        <f>C22+C23</f>
        <v>159811.0511922044</v>
      </c>
      <c r="D24" s="303">
        <f>D22+D23</f>
        <v>369222.64810107514</v>
      </c>
      <c r="E24" s="303">
        <f>E22+E23</f>
        <v>402276.92476721265</v>
      </c>
      <c r="F24" s="303">
        <f>F22+F23</f>
        <v>424095.94628958387</v>
      </c>
      <c r="G24" s="303">
        <f>G22+G23</f>
        <v>6753940.355703368</v>
      </c>
      <c r="H24" s="303">
        <f>H22+H23</f>
        <v>0</v>
      </c>
      <c r="I24" s="303">
        <f>I22+I23</f>
        <v>0</v>
      </c>
      <c r="J24" s="303">
        <f>J22+J23</f>
        <v>0</v>
      </c>
      <c r="K24" s="303" t="inlineStr">
        <is>
          <t>Year 0 is initial equity; operating cash flow plus net sale proceeds in the exit year.</t>
        </is>
      </c>
    </row>
    <row r="25" ht="27.95" customHeight="1" s="234">
      <c r="A25" s="347" t="inlineStr">
        <is>
          <t>Levered IRR</t>
        </is>
      </c>
      <c r="B25" s="296">
        <f>IFERROR(IRR(B24:J24),0)</f>
        <v>0.1904325573907768</v>
      </c>
      <c r="C25" s="347" t="n"/>
      <c r="D25" s="347" t="n"/>
      <c r="E25" s="347" t="n"/>
      <c r="F25" s="347" t="n"/>
      <c r="G25" s="347" t="n"/>
      <c r="H25" s="347" t="n"/>
      <c r="I25" s="347" t="n"/>
      <c r="J25" s="347" t="n"/>
      <c r="K25" s="347" t="inlineStr">
        <is>
          <t>IRR of Year 0 through Year 8 total cash flows, including sale proceeds.</t>
        </is>
      </c>
    </row>
    <row r="26">
      <c r="A26" s="347" t="inlineStr">
        <is>
          <t>Equity Multiple</t>
        </is>
      </c>
      <c r="B26" s="424">
        <f>SUM(C24:J24)/ABS(B24)</f>
        <v>2.209921225120345</v>
      </c>
      <c r="C26" s="347" t="n"/>
      <c r="D26" s="347" t="n"/>
      <c r="E26" s="347" t="n"/>
      <c r="F26" s="347" t="n"/>
      <c r="G26" s="347" t="n"/>
      <c r="H26" s="347" t="n"/>
      <c r="I26" s="347" t="n"/>
      <c r="J26" s="347" t="n"/>
      <c r="K26" s="347" t="inlineStr">
        <is>
          <t>Total positive cash distributions / initial equity.</t>
        </is>
      </c>
    </row>
    <row r="27" ht="27.95" customHeight="1" s="234">
      <c r="A27" s="289" t="inlineStr">
        <is>
          <t>Annual Cash-on-Cash</t>
        </is>
      </c>
      <c r="B27" s="425" t="n"/>
      <c r="C27" s="426">
        <f>C22/$B$12</f>
        <v>0.04355095882059184</v>
      </c>
      <c r="D27" s="426">
        <f>D22/$B$12</f>
        <v>0.10061882593926758</v>
      </c>
      <c r="E27" s="426">
        <f>E22/$B$12</f>
        <v>0.10962662252900444</v>
      </c>
      <c r="F27" s="426">
        <f>F22/$B$12</f>
        <v>0.1155726400336609</v>
      </c>
      <c r="G27" s="426">
        <f>G22/$B$12</f>
        <v>0.12169703806345694</v>
      </c>
      <c r="H27" s="426">
        <f>H22/$B$12</f>
        <v>0</v>
      </c>
      <c r="I27" s="426">
        <f>I22/$B$12</f>
        <v>0</v>
      </c>
      <c r="J27" s="426">
        <f>J22/$B$12</f>
        <v>0</v>
      </c>
      <c r="K27" s="426" t="inlineStr">
        <is>
          <t>Annual cash flow after debt / initial equity. Shows distribution timing.</t>
        </is>
      </c>
    </row>
    <row r="28">
      <c r="A28" s="427" t="inlineStr">
        <is>
          <t>Average Cash-on-Cash</t>
        </is>
      </c>
      <c r="B28" s="428">
        <f>IFERROR(SUM(C27:J27)/Inputs!$B$17,0)</f>
        <v>0.09821321707719634</v>
      </c>
      <c r="C28" s="427" t="n"/>
      <c r="D28" s="427" t="n"/>
      <c r="E28" s="427" t="n"/>
      <c r="F28" s="427" t="n"/>
      <c r="G28" s="427" t="n"/>
      <c r="H28" s="427" t="n"/>
      <c r="I28" s="427" t="n"/>
      <c r="J28" s="427" t="n"/>
      <c r="K28" s="427" t="inlineStr">
        <is>
          <t>Average annual CoC across the hold period.</t>
        </is>
      </c>
    </row>
  </sheetData>
  <mergeCells count="1">
    <mergeCell ref="A1:E1"/>
  </mergeCells>
  <pageMargins left="0.7" right="0.7" top="0.75" bottom="0.75" header="0.3" footer="0.3"/>
  <pageSetup orientation="portrait" horizontalDpi="1200" verticalDpi="1200"/>
</worksheet>
</file>

<file path=xl/worksheets/sheet10.xml><?xml version="1.0" encoding="utf-8"?>
<worksheet xmlns="http://schemas.openxmlformats.org/spreadsheetml/2006/main">
  <sheetPr>
    <tabColor rgb="FFC00000"/>
    <outlinePr summaryBelow="1" summaryRight="1"/>
    <pageSetUpPr/>
  </sheetPr>
  <dimension ref="A1:J56"/>
  <sheetViews>
    <sheetView showGridLines="0" zoomScale="90" workbookViewId="0">
      <pane xSplit="1" ySplit="5" topLeftCell="B6" activePane="bottomRight" state="frozen"/>
      <selection pane="topRight"/>
      <selection pane="bottomLeft"/>
      <selection pane="bottomRight" activeCell="A1" sqref="A1"/>
    </sheetView>
  </sheetViews>
  <sheetFormatPr baseColWidth="8" defaultRowHeight="14.25"/>
  <cols>
    <col width="34" customWidth="1" style="234" min="1" max="1"/>
    <col width="17" customWidth="1" style="234" min="2" max="3"/>
    <col width="17" customWidth="1" style="234" min="3" max="3"/>
    <col width="17" customWidth="1" style="234" min="4" max="4"/>
    <col width="19" customWidth="1" style="234" min="5" max="5"/>
    <col width="19" customWidth="1" style="234" min="6" max="6"/>
    <col width="19" customWidth="1" style="234" min="7" max="10"/>
    <col width="52" customWidth="1" style="234" min="8" max="8"/>
  </cols>
  <sheetData>
    <row r="1" ht="12.95" customHeight="1" s="234">
      <c r="A1" s="429" t="inlineStr">
        <is>
          <t>Exit Scenarios - Sale and Refinance Options Through Year 8</t>
        </is>
      </c>
      <c r="B1" s="430" t="n"/>
      <c r="C1" s="430" t="n"/>
      <c r="D1" s="430" t="n"/>
      <c r="E1" s="430" t="n"/>
      <c r="F1" s="430" t="n"/>
      <c r="G1" s="430" t="n"/>
      <c r="H1" s="430" t="n"/>
      <c r="I1" s="430" t="n"/>
      <c r="J1" s="430" t="n"/>
    </row>
    <row r="2" ht="21.95" customFormat="1" customHeight="1" s="248">
      <c r="A2" s="431" t="str">
        <f>IFERROR(INDEX(B5:G5,MATCH(MAX(B14:G14),B14:G14,0)),0)</f>
        <v>Sale Year 3</v>
      </c>
      <c r="B2" s="432">
        <f>MAX(B14:G14)</f>
        <v>0.2221319730711171</v>
      </c>
      <c r="C2" s="432">
        <f>C16</f>
        <v>0.10061882593926758</v>
      </c>
      <c r="D2" s="432">
        <f>Inputs!$B$47</f>
        <v>0.16</v>
      </c>
      <c r="E2" s="430" t="n"/>
      <c r="F2" s="430" t="n"/>
      <c r="G2" s="430" t="n"/>
      <c r="H2" s="430" t="n"/>
      <c r="I2" s="430" t="n"/>
      <c r="J2" s="430" t="n"/>
    </row>
    <row r="3" ht="12.95" customFormat="1" customHeight="1" s="248">
      <c r="A3" s="433" t="inlineStr">
        <is>
          <t>BEST IRR SCENARIO</t>
        </is>
      </c>
      <c r="B3" s="433" t="inlineStr">
        <is>
          <t>BEST IRR</t>
        </is>
      </c>
      <c r="C3" s="433" t="inlineStr">
        <is>
          <t>YEAR 2 CASH-ON-CASH</t>
        </is>
      </c>
      <c r="D3" s="433" t="inlineStr">
        <is>
          <t>IRR TARGET</t>
        </is>
      </c>
      <c r="E3" s="430" t="n"/>
      <c r="F3" s="430" t="n"/>
      <c r="G3" s="430" t="n"/>
      <c r="H3" s="430" t="n"/>
      <c r="I3" s="430" t="n"/>
      <c r="J3" s="430" t="n"/>
    </row>
    <row r="4" ht="8.1" customHeight="1" s="234">
      <c r="A4" s="430" t="n"/>
      <c r="B4" s="430" t="n"/>
      <c r="C4" s="430" t="n"/>
      <c r="D4" s="430" t="n"/>
      <c r="E4" s="430" t="n"/>
      <c r="F4" s="430" t="n"/>
      <c r="G4" s="430" t="n"/>
      <c r="H4" s="430" t="n"/>
      <c r="I4" s="430" t="n"/>
      <c r="J4" s="430" t="n"/>
    </row>
    <row r="5" ht="30" customHeight="1" s="234">
      <c r="A5" s="434" t="inlineStr">
        <is>
          <t>Metric</t>
        </is>
      </c>
      <c r="B5" s="434" t="inlineStr">
        <is>
          <t>Sale Year 3</t>
        </is>
      </c>
      <c r="C5" s="434" t="inlineStr">
        <is>
          <t>Sale Year 5</t>
        </is>
      </c>
      <c r="D5" s="434" t="inlineStr">
        <is>
          <t>Sale Year 8</t>
        </is>
      </c>
      <c r="E5" s="434" t="inlineStr">
        <is>
          <t>Refi Yr3 + Sale Yr5</t>
        </is>
      </c>
      <c r="F5" s="434" t="inlineStr">
        <is>
          <t>Refi Yr3 + Sale Yr8</t>
        </is>
      </c>
      <c r="G5" s="434" t="inlineStr">
        <is>
          <t>Refi Yr5 + Sale Yr8</t>
        </is>
      </c>
      <c r="H5" s="434" t="inlineStr">
        <is>
          <t>Notes</t>
        </is>
      </c>
      <c r="I5" s="430" t="n"/>
      <c r="J5" s="430" t="n"/>
    </row>
    <row r="6" ht="27.95" customHeight="1" s="234">
      <c r="A6" s="435" t="inlineStr">
        <is>
          <t>Exit / Refi Cap Rate</t>
        </is>
      </c>
      <c r="B6" s="436">
        <f>Inputs!$B$18</f>
        <v>0.06</v>
      </c>
      <c r="C6" s="436">
        <f>Inputs!$B$18</f>
        <v>0.06</v>
      </c>
      <c r="D6" s="436">
        <f>Inputs!$B$18</f>
        <v>0.06</v>
      </c>
      <c r="E6" s="437" t="str">
        <f>TEXT(Inputs!$B$40,"0.0%") &amp; " refi / " &amp; TEXT(Inputs!$B$18,"0.0%") &amp; " exit"</f>
        <v>5.9% refi / 6.0% exit</v>
      </c>
      <c r="F6" s="437" t="str">
        <f>TEXT(Inputs!$B$40,"0.0%") &amp; " refi / " &amp; TEXT(Inputs!$B$18,"0.0%") &amp; " exit"</f>
        <v>5.9% refi / 6.0% exit</v>
      </c>
      <c r="G6" s="437" t="str">
        <f>TEXT(Inputs!$B$40,"0.0%") &amp; " refi / " &amp; TEXT(Inputs!$B$18,"0.0%") &amp; " exit"</f>
        <v>5.9% refi / 6.0% exit</v>
      </c>
      <c r="H6" s="438" t="inlineStr">
        <is>
          <t>Refi cases size the new loan on the refi cap in the refi year, then sell on the exit cap.</t>
        </is>
      </c>
      <c r="I6" s="430" t="n"/>
      <c r="J6" s="430" t="n"/>
    </row>
    <row r="7" ht="27.95" customHeight="1" s="234">
      <c r="A7" s="435" t="inlineStr">
        <is>
          <t>Hold Period (yrs)</t>
        </is>
      </c>
      <c r="B7" s="439" t="n">
        <v>3</v>
      </c>
      <c r="C7" s="439" t="n">
        <v>5</v>
      </c>
      <c r="D7" s="439" t="n">
        <v>8</v>
      </c>
      <c r="E7" s="439" t="n">
        <v>5</v>
      </c>
      <c r="F7" s="439" t="n">
        <v>8</v>
      </c>
      <c r="G7" s="439" t="n">
        <v>8</v>
      </c>
      <c r="H7" s="438" t="inlineStr">
        <is>
          <t>Sale year for the scenario. Year 6-8 NOI is real Pro Forma NOI, not a stand-in.</t>
        </is>
      </c>
      <c r="I7" s="430" t="n"/>
      <c r="J7" s="430" t="n"/>
    </row>
    <row r="8" ht="27.95" customHeight="1" s="234">
      <c r="A8" s="435" t="inlineStr">
        <is>
          <t>Gross Sale Value</t>
        </is>
      </c>
      <c r="B8" s="440">
        <f>'Pro Forma'!$F$30/Inputs!$B$18</f>
        <v>12121679.2568729</v>
      </c>
      <c r="C8" s="440">
        <f>'Pro Forma'!$H$30/Inputs!$B$18</f>
        <v>12859889.485046452</v>
      </c>
      <c r="D8" s="440">
        <f>'Pro Forma'!$K$30/Inputs!$B$18</f>
        <v>14052348.398599261</v>
      </c>
      <c r="E8" s="440">
        <f>'Pro Forma'!$H$30/Inputs!$B$18</f>
        <v>12859889.485046452</v>
      </c>
      <c r="F8" s="440">
        <f>'Pro Forma'!$K$30/Inputs!$B$18</f>
        <v>14052348.398599261</v>
      </c>
      <c r="G8" s="440">
        <f>'Pro Forma'!$K$30/Inputs!$B$18</f>
        <v>14052348.398599261</v>
      </c>
      <c r="H8" s="438" t="inlineStr">
        <is>
          <t>That year's Pro Forma NOI / exit cap rate.</t>
        </is>
      </c>
      <c r="I8" s="430" t="n"/>
      <c r="J8" s="430" t="n"/>
    </row>
    <row r="9" ht="27.6" customHeight="1" s="234">
      <c r="A9" s="435" t="inlineStr">
        <is>
          <t>Net Refi Proceeds</t>
        </is>
      </c>
      <c r="B9" s="440" t="n"/>
      <c r="C9" s="440" t="n"/>
      <c r="D9" s="440" t="n"/>
      <c r="E9" s="440">
        <f>$B$33-$B$30-$B$33*Inputs!$B$42</f>
        <v>2561390.4871369097</v>
      </c>
      <c r="F9" s="440">
        <f>$B$33-$B$30-$B$33*Inputs!$B$42</f>
        <v>2561390.4871369097</v>
      </c>
      <c r="G9" s="440">
        <f>$B$37-$B$31-$B$37*Inputs!$B$42</f>
        <v>3077269.164237016</v>
      </c>
      <c r="H9" s="438" t="inlineStr">
        <is>
          <t>Cash-out at refi: new loan less the acquisition balance and refi closing cost. Treated as an investor distribution, not added spend.</t>
        </is>
      </c>
      <c r="I9" s="430" t="n"/>
      <c r="J9" s="430" t="n"/>
    </row>
    <row r="10">
      <c r="A10" s="435" t="inlineStr">
        <is>
          <t>Disposition Cost (at sale)</t>
        </is>
      </c>
      <c r="B10" s="440">
        <f>B8*Inputs!$B$19</f>
        <v>606083.962843645</v>
      </c>
      <c r="C10" s="440">
        <f>C8*Inputs!$B$19</f>
        <v>642994.4742523227</v>
      </c>
      <c r="D10" s="440">
        <f>D8*Inputs!$B$19</f>
        <v>702617.4199299631</v>
      </c>
      <c r="E10" s="440">
        <f>E8*Inputs!$B$19</f>
        <v>642994.4742523227</v>
      </c>
      <c r="F10" s="440">
        <f>F8*Inputs!$B$19</f>
        <v>702617.4199299631</v>
      </c>
      <c r="G10" s="440">
        <f>G8*Inputs!$B$19</f>
        <v>702617.4199299631</v>
      </c>
      <c r="H10" s="438" t="inlineStr">
        <is>
          <t>Disposition / closing cost % of sale value.</t>
        </is>
      </c>
      <c r="I10" s="430" t="n"/>
      <c r="J10" s="430" t="n"/>
    </row>
    <row r="11">
      <c r="A11" s="435" t="inlineStr">
        <is>
          <t>Loan Payoff at Sale</t>
        </is>
      </c>
      <c r="B11" s="440">
        <f>$B$30</f>
        <v>5909524.193548387</v>
      </c>
      <c r="C11" s="440">
        <f>$B$31</f>
        <v>5909524.193548387</v>
      </c>
      <c r="D11" s="440">
        <f>$B$32</f>
        <v>5909524.193548387</v>
      </c>
      <c r="E11" s="440">
        <f>$B$35</f>
        <v>8556479.475439694</v>
      </c>
      <c r="F11" s="440">
        <f>$B$36</f>
        <v>8556479.475439694</v>
      </c>
      <c r="G11" s="440">
        <f>$B$39</f>
        <v>9077569.048268083</v>
      </c>
      <c r="H11" s="438" t="inlineStr">
        <is>
          <t>Refi cases repay the new refi loan at sale; the others repay the acquisition loan.</t>
        </is>
      </c>
      <c r="I11" s="430" t="n"/>
      <c r="J11" s="430" t="n"/>
    </row>
    <row r="12">
      <c r="A12" s="435" t="inlineStr">
        <is>
          <t>Net Sale Proceeds</t>
        </is>
      </c>
      <c r="B12" s="440">
        <f>B8-B10-B11</f>
        <v>5606071.100480868</v>
      </c>
      <c r="C12" s="440">
        <f>C8-C10-C11</f>
        <v>6307370.817245742</v>
      </c>
      <c r="D12" s="440">
        <f>D8-D10-D11</f>
        <v>7440206.785120912</v>
      </c>
      <c r="E12" s="440">
        <f>E8-E10-E11</f>
        <v>3660415.5353544354</v>
      </c>
      <c r="F12" s="440">
        <f>F8-F10-F11</f>
        <v>4793251.503229605</v>
      </c>
      <c r="G12" s="440">
        <f>G8-G10-G11</f>
        <v>4272161.930401215</v>
      </c>
      <c r="H12" s="438" t="inlineStr">
        <is>
          <t>Sale value - disposition cost - loan payoff.</t>
        </is>
      </c>
      <c r="I12" s="430" t="n"/>
      <c r="J12" s="430" t="n"/>
    </row>
    <row r="13" ht="21" customHeight="1" s="234">
      <c r="A13" s="435" t="inlineStr">
        <is>
          <t>Initial Equity</t>
        </is>
      </c>
      <c r="B13" s="440">
        <f>'Debt &amp; Exit'!$B$12</f>
        <v>3669518.548387097</v>
      </c>
      <c r="C13" s="440">
        <f>'Debt &amp; Exit'!$B$12</f>
        <v>3669518.548387097</v>
      </c>
      <c r="D13" s="440">
        <f>'Debt &amp; Exit'!$B$12</f>
        <v>3669518.548387097</v>
      </c>
      <c r="E13" s="440">
        <f>'Debt &amp; Exit'!$B$12</f>
        <v>3669518.548387097</v>
      </c>
      <c r="F13" s="440">
        <f>'Debt &amp; Exit'!$B$12</f>
        <v>3669518.548387097</v>
      </c>
      <c r="G13" s="440">
        <f>'Debt &amp; Exit'!$B$12</f>
        <v>3669518.548387097</v>
      </c>
      <c r="H13" s="438" t="inlineStr">
        <is>
          <t>Same day-one equity across scenarios.</t>
        </is>
      </c>
      <c r="I13" s="430" t="n"/>
      <c r="J13" s="430" t="n"/>
    </row>
    <row r="14" ht="23.45" customHeight="1" s="234">
      <c r="A14" s="435" t="inlineStr">
        <is>
          <t>Levered IRR</t>
        </is>
      </c>
      <c r="B14" s="441">
        <f>IFERROR(IRR(B21:E21),"NM")</f>
        <v>0.2221319730711171</v>
      </c>
      <c r="C14" s="441">
        <f>IFERROR(IRR(B22:G22),"NM")</f>
        <v>0.1904325573907768</v>
      </c>
      <c r="D14" s="441">
        <f>IFERROR(IRR(B23:J23),"NM")</f>
        <v>0.17158252373255345</v>
      </c>
      <c r="E14" s="441">
        <f>IFERROR(IRR(B24:G24),"NM")</f>
        <v>0.21428408246271613</v>
      </c>
      <c r="F14" s="441">
        <f>IFERROR(IRR(B25:J25),"NM")</f>
        <v>0.2071723356267623</v>
      </c>
      <c r="G14" s="441">
        <f>IFERROR(IRR(B26:J26),"NM")</f>
        <v>0.19016912794009544</v>
      </c>
      <c r="H14" s="438" t="inlineStr">
        <is>
          <t>IRR includes interim distributions, refi proceeds, and final net sale proceeds.</t>
        </is>
      </c>
      <c r="I14" s="430" t="n"/>
      <c r="J14" s="430" t="n"/>
    </row>
    <row r="15" ht="21" customHeight="1" s="234">
      <c r="A15" s="435" t="inlineStr">
        <is>
          <t>Equity Multiple</t>
        </is>
      </c>
      <c r="B15" s="442">
        <f>SUM(C21:E21)/'Debt &amp; Exit'!$B$12</f>
        <v>1.7815366343943966</v>
      </c>
      <c r="C15" s="442">
        <f>SUM(C22:G22)/'Debt &amp; Exit'!$B$12</f>
        <v>2.209921225120345</v>
      </c>
      <c r="D15" s="442">
        <f>SUM(C23:J23)/'Debt &amp; Exit'!$B$12</f>
        <v>2.9223389217164066</v>
      </c>
      <c r="E15" s="442">
        <f>SUM(C24:G24)/'Debt &amp; Exit'!$B$12</f>
        <v>2.109588336368814</v>
      </c>
      <c r="F15" s="442">
        <f>SUM(C25:J25)/'Debt &amp; Exit'!$B$12</f>
        <v>2.706483275221838</v>
      </c>
      <c r="G15" s="442">
        <f>SUM(C26:J26)/'Debt &amp; Exit'!$B$12</f>
        <v>2.7588605988713835</v>
      </c>
      <c r="H15" s="438" t="inlineStr">
        <is>
          <t>Total distributions / equity in.</t>
        </is>
      </c>
      <c r="I15" s="430" t="n"/>
      <c r="J15" s="430" t="n"/>
    </row>
    <row r="16">
      <c r="A16" s="435" t="inlineStr">
        <is>
          <t>Year 2 Cash-on-Cash</t>
        </is>
      </c>
      <c r="B16" s="436">
        <f>$D$21/'Debt &amp; Exit'!$B$12</f>
        <v>0.10061882593926758</v>
      </c>
      <c r="C16" s="436">
        <f>$D$21/'Debt &amp; Exit'!$B$12</f>
        <v>0.10061882593926758</v>
      </c>
      <c r="D16" s="436">
        <f>$D$21/'Debt &amp; Exit'!$B$12</f>
        <v>0.10061882593926758</v>
      </c>
      <c r="E16" s="436">
        <f>$D$21/'Debt &amp; Exit'!$B$12</f>
        <v>0.10061882593926758</v>
      </c>
      <c r="F16" s="436">
        <f>$D$21/'Debt &amp; Exit'!$B$12</f>
        <v>0.10061882593926758</v>
      </c>
      <c r="G16" s="436">
        <f>$D$21/'Debt &amp; Exit'!$B$12</f>
        <v>0.10061882593926758</v>
      </c>
      <c r="H16" s="438" t="inlineStr">
        <is>
          <t>Year 2 operating cash flow / equity - identical pre-refi across scenarios.</t>
        </is>
      </c>
      <c r="I16" s="430" t="n"/>
      <c r="J16" s="430" t="n"/>
    </row>
    <row r="17" ht="27.95" customHeight="1" s="234">
      <c r="A17" s="435" t="inlineStr">
        <is>
          <t>Avg Cash-on-Cash</t>
        </is>
      </c>
      <c r="B17" s="436">
        <f>AVERAGE($B$42:$D$42)/'Debt &amp; Exit'!$B$12</f>
        <v>0.08459880242962128</v>
      </c>
      <c r="C17" s="436">
        <f>AVERAGE($B$42:$F$42)/'Debt &amp; Exit'!$B$12</f>
        <v>0.09821321707719634</v>
      </c>
      <c r="D17" s="436">
        <f>AVERAGE($B$42:$I$42)/'Debt &amp; Exit'!$B$12</f>
        <v>0.11184607903924368</v>
      </c>
      <c r="E17" s="436">
        <f>AVERAGE($B$42:$D$42,$E$43:$F$43)/'Debt &amp; Exit'!$B$12</f>
        <v>0.08281018271145799</v>
      </c>
      <c r="F17" s="436">
        <f>AVERAGE($B$42:$D$42,$E$43:$I$43)/'Debt &amp; Exit'!$B$12</f>
        <v>0.08777883784277747</v>
      </c>
      <c r="G17" s="436">
        <f>AVERAGE($B$42:$F$42,$G$44:$I$44)/'Debt &amp; Exit'!$B$12</f>
        <v>0.09450350940977134</v>
      </c>
      <c r="H17" s="438" t="inlineStr">
        <is>
          <t>Average operating CoC over the scenario's hold, on whichever debt is in place.</t>
        </is>
      </c>
      <c r="I17" s="430" t="n"/>
      <c r="J17" s="430" t="n"/>
    </row>
    <row r="18" ht="42.6" customHeight="1" s="234">
      <c r="A18" s="435" t="inlineStr">
        <is>
          <t>Refi Case Interpretation</t>
        </is>
      </c>
      <c r="B18" s="437" t="inlineStr">
        <is>
          <t>No refinance</t>
        </is>
      </c>
      <c r="C18" s="437" t="inlineStr">
        <is>
          <t>No refinance</t>
        </is>
      </c>
      <c r="D18" s="437" t="inlineStr">
        <is>
          <t>No refinance</t>
        </is>
      </c>
      <c r="E18" s="437" t="inlineStr">
        <is>
          <t>Cash-out refinance in Year 3; sell Year 5</t>
        </is>
      </c>
      <c r="F18" s="437" t="inlineStr">
        <is>
          <t>Cash-out refinance in Year 3; sell Year 8</t>
        </is>
      </c>
      <c r="G18" s="437" t="inlineStr">
        <is>
          <t>Cash-out refinance in Year 5; sell Year 8</t>
        </is>
      </c>
      <c r="H18" s="438" t="inlineStr">
        <is>
          <t>No incremental upgrades are modeled from refi proceeds unless a separate use-of-proceeds budget and NOI ramp are added.</t>
        </is>
      </c>
      <c r="I18" s="430" t="n"/>
      <c r="J18" s="430" t="n"/>
    </row>
    <row r="19" ht="5.25" customHeight="1" s="234">
      <c r="A19" s="443" t="inlineStr">
        <is>
          <t>Gross Sale Value / Unit (max price per door)</t>
        </is>
      </c>
      <c r="B19" s="440">
        <f>IFERROR(B8/Inputs!$B$13,"n/a")</f>
        <v>126267.4922590927</v>
      </c>
      <c r="C19" s="440">
        <f>IFERROR(C8/Inputs!$B$13,"n/a")</f>
        <v>133957.18213590054</v>
      </c>
      <c r="D19" s="440">
        <f>IFERROR(D8/Inputs!$B$13,"n/a")</f>
        <v>146378.62915207565</v>
      </c>
      <c r="E19" s="440">
        <f>IFERROR(E8/Inputs!$B$13,"n/a")</f>
        <v>133957.18213590054</v>
      </c>
      <c r="F19" s="440">
        <f>IFERROR(F8/Inputs!$B$13,"n/a")</f>
        <v>146378.62915207565</v>
      </c>
      <c r="G19" s="440">
        <f>IFERROR(G8/Inputs!$B$13,"n/a")</f>
        <v>146378.62915207565</v>
      </c>
      <c r="H19" s="438" t="inlineStr">
        <is>
          <t>Gross sale value / unit count (Inputs). What the exit asks a buyer to pay per door - the ceiling the local market will actually clear, regardless of what the cap rate math says.</t>
        </is>
      </c>
      <c r="I19" s="430" t="n"/>
      <c r="J19" s="430" t="n"/>
    </row>
    <row r="20" ht="16.5" customHeight="1" s="234">
      <c r="A20" s="444" t="inlineStr">
        <is>
          <t>Equity Cash Flow</t>
        </is>
      </c>
      <c r="B20" s="444" t="inlineStr">
        <is>
          <t>Year 0</t>
        </is>
      </c>
      <c r="C20" s="444" t="inlineStr">
        <is>
          <t>Year 1</t>
        </is>
      </c>
      <c r="D20" s="444" t="inlineStr">
        <is>
          <t>Year 2</t>
        </is>
      </c>
      <c r="E20" s="444" t="inlineStr">
        <is>
          <t>Year 3</t>
        </is>
      </c>
      <c r="F20" s="444" t="inlineStr">
        <is>
          <t>Year 4</t>
        </is>
      </c>
      <c r="G20" s="444" t="inlineStr">
        <is>
          <t>Year 5</t>
        </is>
      </c>
      <c r="H20" s="444" t="inlineStr">
        <is>
          <t>Year 6</t>
        </is>
      </c>
      <c r="I20" s="444" t="inlineStr">
        <is>
          <t>Year 7</t>
        </is>
      </c>
      <c r="J20" s="444" t="inlineStr">
        <is>
          <t>Year 8</t>
        </is>
      </c>
    </row>
    <row r="21">
      <c r="A21" s="435" t="inlineStr">
        <is>
          <t>Sale Year 3</t>
        </is>
      </c>
      <c r="B21" s="445">
        <f>-'Debt &amp; Exit'!$B$12</f>
        <v>-3669518.548387097</v>
      </c>
      <c r="C21" s="445">
        <f>$B$42</f>
        <v>159811.0511922044</v>
      </c>
      <c r="D21" s="445">
        <f>$C$42</f>
        <v>369222.64810107514</v>
      </c>
      <c r="E21" s="445">
        <f>$D$42+$B$12</f>
        <v>6008348.0252480805</v>
      </c>
      <c r="F21" s="445" t="n"/>
      <c r="G21" s="445" t="n"/>
      <c r="H21" s="445" t="n"/>
      <c r="I21" s="445" t="n"/>
      <c r="J21" s="445" t="n"/>
    </row>
    <row r="22">
      <c r="A22" s="435" t="inlineStr">
        <is>
          <t>Sale Year 5</t>
        </is>
      </c>
      <c r="B22" s="445">
        <f>-'Debt &amp; Exit'!$B$12</f>
        <v>-3669518.548387097</v>
      </c>
      <c r="C22" s="445">
        <f>$B$42</f>
        <v>159811.0511922044</v>
      </c>
      <c r="D22" s="445">
        <f>$C$42</f>
        <v>369222.64810107514</v>
      </c>
      <c r="E22" s="445">
        <f>$D$42</f>
        <v>402276.92476721265</v>
      </c>
      <c r="F22" s="445">
        <f>$E$42</f>
        <v>424095.94628958387</v>
      </c>
      <c r="G22" s="445">
        <f>$F$42+$C$12</f>
        <v>6753940.355703368</v>
      </c>
      <c r="H22" s="445" t="n"/>
      <c r="I22" s="445" t="n"/>
      <c r="J22" s="445" t="n"/>
    </row>
    <row r="23">
      <c r="A23" s="435" t="inlineStr">
        <is>
          <t>Sale Year 8</t>
        </is>
      </c>
      <c r="B23" s="445">
        <f>-'Debt &amp; Exit'!$B$12</f>
        <v>-3669518.548387097</v>
      </c>
      <c r="C23" s="445">
        <f>$B$42</f>
        <v>159811.0511922044</v>
      </c>
      <c r="D23" s="445">
        <f>$C$42</f>
        <v>369222.64810107514</v>
      </c>
      <c r="E23" s="445">
        <f>$D$42</f>
        <v>402276.92476721265</v>
      </c>
      <c r="F23" s="445">
        <f>$E$42</f>
        <v>424095.94628958387</v>
      </c>
      <c r="G23" s="445">
        <f>$F$42</f>
        <v>446569.53845762584</v>
      </c>
      <c r="H23" s="445">
        <f>$G$42</f>
        <v>469717.3383907098</v>
      </c>
      <c r="I23" s="445">
        <f>$H$42</f>
        <v>493559.5723217859</v>
      </c>
      <c r="J23" s="445">
        <f>$I$42+$D$12</f>
        <v>7958323.858391706</v>
      </c>
    </row>
    <row r="24">
      <c r="A24" s="435" t="inlineStr">
        <is>
          <t>Refi Yr3 + Sale Yr5</t>
        </is>
      </c>
      <c r="B24" s="445">
        <f>-'Debt &amp; Exit'!$B$12</f>
        <v>-3669518.548387097</v>
      </c>
      <c r="C24" s="445">
        <f>$B$42</f>
        <v>159811.0511922044</v>
      </c>
      <c r="D24" s="445">
        <f>$C$42</f>
        <v>369222.64810107514</v>
      </c>
      <c r="E24" s="445">
        <f>$D$42+$E$9</f>
        <v>2963667.411904122</v>
      </c>
      <c r="F24" s="445">
        <f>$E$43</f>
        <v>282791.6455232818</v>
      </c>
      <c r="G24" s="445">
        <f>$F$43+$E$12</f>
        <v>3965680.773045759</v>
      </c>
      <c r="H24" s="445" t="n"/>
      <c r="I24" s="445" t="n"/>
      <c r="J24" s="445" t="n"/>
    </row>
    <row r="25">
      <c r="A25" s="443" t="inlineStr">
        <is>
          <t>Refi Yr3 + Sale Yr8</t>
        </is>
      </c>
      <c r="B25" s="445">
        <f>-'Debt &amp; Exit'!$B$12</f>
        <v>-3669518.548387097</v>
      </c>
      <c r="C25" s="445">
        <f>$B$42</f>
        <v>159811.0511922044</v>
      </c>
      <c r="D25" s="445">
        <f>$C$42</f>
        <v>369222.64810107514</v>
      </c>
      <c r="E25" s="445">
        <f>$D$42+$F$9</f>
        <v>2963667.411904122</v>
      </c>
      <c r="F25" s="445">
        <f>$E$43</f>
        <v>282791.6455232818</v>
      </c>
      <c r="G25" s="445">
        <f>$F$43</f>
        <v>305265.2376913238</v>
      </c>
      <c r="H25" s="445">
        <f>$G$43</f>
        <v>328413.03762440773</v>
      </c>
      <c r="I25" s="445">
        <f>$H$43</f>
        <v>352255.27155548387</v>
      </c>
      <c r="J25" s="445">
        <f>$I$43+$F$12</f>
        <v>5170064.275734098</v>
      </c>
    </row>
    <row r="26" ht="15" customHeight="1" s="234">
      <c r="A26" s="435" t="inlineStr">
        <is>
          <t>Refi Yr5 + Sale Yr8</t>
        </is>
      </c>
      <c r="B26" s="445">
        <f>-'Debt &amp; Exit'!$B$12</f>
        <v>-3669518.548387097</v>
      </c>
      <c r="C26" s="445">
        <f>$B$42</f>
        <v>159811.0511922044</v>
      </c>
      <c r="D26" s="445">
        <f>$C$42</f>
        <v>369222.64810107514</v>
      </c>
      <c r="E26" s="445">
        <f>$D$42</f>
        <v>402276.92476721265</v>
      </c>
      <c r="F26" s="445">
        <f>$E$42</f>
        <v>424095.94628958387</v>
      </c>
      <c r="G26" s="445">
        <f>$F$42+$G$9</f>
        <v>3523838.702694642</v>
      </c>
      <c r="H26" s="445">
        <f>$G$44</f>
        <v>300013.6559052605</v>
      </c>
      <c r="I26" s="445">
        <f>$H$44</f>
        <v>323855.8898363366</v>
      </c>
      <c r="J26" s="445">
        <f>$I$44+$G$12</f>
        <v>4620575.32118656</v>
      </c>
    </row>
    <row r="27" ht="20.1" customHeight="1" s="234">
      <c r="A27" s="446" t="n"/>
      <c r="B27" s="446" t="n"/>
      <c r="C27" s="446" t="n"/>
      <c r="D27" s="446" t="n"/>
      <c r="E27" s="446" t="n"/>
      <c r="F27" s="446" t="n"/>
      <c r="G27" s="430" t="n"/>
      <c r="H27" s="430" t="n"/>
      <c r="I27" s="430" t="n"/>
      <c r="J27" s="430" t="n"/>
    </row>
    <row r="28" ht="20.1" customHeight="1" s="234">
      <c r="A28" s="447" t="inlineStr">
        <is>
          <t>Supporting Calcs</t>
        </is>
      </c>
      <c r="B28" s="446" t="n"/>
      <c r="C28" s="446" t="n"/>
      <c r="D28" s="446" t="n"/>
      <c r="E28" s="446" t="n"/>
      <c r="F28" s="446" t="n"/>
      <c r="G28" s="430" t="n"/>
      <c r="H28" s="448" t="inlineStr">
        <is>
          <t>How calculated</t>
        </is>
      </c>
      <c r="I28" s="430" t="n"/>
      <c r="J28" s="430" t="n"/>
    </row>
    <row r="29" ht="20.1" customHeight="1" s="234">
      <c r="A29" s="446" t="inlineStr">
        <is>
          <t>Annual acquisition debt service</t>
        </is>
      </c>
      <c r="B29" s="449">
        <f>'Debt &amp; Exit'!$B$17</f>
        <v>325023.8306451613</v>
      </c>
      <c r="C29" s="446" t="n"/>
      <c r="D29" s="446" t="n"/>
      <c r="E29" s="446" t="n"/>
      <c r="F29" s="446" t="n"/>
      <c r="G29" s="430" t="n"/>
      <c r="H29" s="450" t="inlineStr">
        <is>
          <t>Linked from Debt &amp; Exit.</t>
        </is>
      </c>
      <c r="I29" s="430" t="n"/>
      <c r="J29" s="430" t="n"/>
    </row>
    <row r="30" ht="20.1" customHeight="1" s="234">
      <c r="A30" s="446" t="inlineStr">
        <is>
          <t>Acq loan balance @ Yr3</t>
        </is>
      </c>
      <c r="B30" s="449">
        <f>IF(Inputs!$B$16=0,'Debt &amp; Exit'!$B$8-$B$29*3,'Debt &amp; Exit'!$B$8*(1+Inputs!$B$16)^3-$B$29*((1+Inputs!$B$16)^3-1)/Inputs!$B$16)</f>
        <v>5909524.193548387</v>
      </c>
      <c r="C30" s="446" t="n"/>
      <c r="D30" s="446" t="n"/>
      <c r="E30" s="446" t="n"/>
      <c r="F30" s="446" t="n"/>
      <c r="G30" s="430" t="n"/>
      <c r="H30" s="450" t="inlineStr">
        <is>
          <t>Acquisition loan balance after 3 years of debt service.</t>
        </is>
      </c>
      <c r="I30" s="430" t="n"/>
      <c r="J30" s="430" t="n"/>
    </row>
    <row r="31" ht="36" customHeight="1" s="234">
      <c r="A31" s="446" t="inlineStr">
        <is>
          <t>Acq loan balance @ Yr5</t>
        </is>
      </c>
      <c r="B31" s="449">
        <f>IF(Inputs!$B$16=0,'Debt &amp; Exit'!$B$8-$B$29*5,'Debt &amp; Exit'!$B$8*(1+Inputs!$B$16)^5-$B$29*((1+Inputs!$B$16)^5-1)/Inputs!$B$16)</f>
        <v>5909524.193548387</v>
      </c>
      <c r="C31" s="446" t="n"/>
      <c r="D31" s="446" t="n"/>
      <c r="E31" s="446" t="n"/>
      <c r="F31" s="446" t="n"/>
      <c r="G31" s="430" t="n"/>
      <c r="H31" s="450" t="inlineStr">
        <is>
          <t>Acquisition loan balance after 5 years of debt service.</t>
        </is>
      </c>
      <c r="I31" s="430" t="n"/>
      <c r="J31" s="430" t="n"/>
    </row>
    <row r="32" ht="20.1" customHeight="1" s="234">
      <c r="A32" s="446" t="inlineStr">
        <is>
          <t>Acq loan balance @ Yr8</t>
        </is>
      </c>
      <c r="B32" s="449">
        <f>IF(Inputs!$B$16=0,'Debt &amp; Exit'!$B$8-$B$29*8,'Debt &amp; Exit'!$B$8*(1+Inputs!$B$16)^8-$B$29*((1+Inputs!$B$16)^8-1)/Inputs!$B$16)</f>
        <v>5909524.193548387</v>
      </c>
      <c r="C32" s="446" t="n"/>
      <c r="D32" s="446" t="n"/>
      <c r="E32" s="446" t="n"/>
      <c r="F32" s="446" t="n"/>
      <c r="G32" s="430" t="n"/>
      <c r="H32" s="450" t="inlineStr">
        <is>
          <t>Acquisition loan balance after 8 years of debt service.</t>
        </is>
      </c>
      <c r="I32" s="430" t="n"/>
      <c r="J32" s="430" t="n"/>
    </row>
    <row r="33" ht="20.1" customHeight="1" s="234">
      <c r="A33" s="446" t="inlineStr">
        <is>
          <t>Refi @ Yr3 - new loan</t>
        </is>
      </c>
      <c r="B33" s="449">
        <f>('Pro Forma'!$F$30/Inputs!$B$40)*Inputs!$B$41</f>
        <v>8556479.475439694</v>
      </c>
      <c r="C33" s="446" t="n"/>
      <c r="D33" s="446" t="n"/>
      <c r="E33" s="446" t="n"/>
      <c r="F33" s="446" t="n"/>
      <c r="G33" s="430" t="n"/>
      <c r="H33" s="450" t="inlineStr">
        <is>
          <t>Year 3 NOI / refi cap rate x refi LTV.</t>
        </is>
      </c>
      <c r="I33" s="430" t="n"/>
      <c r="J33" s="430" t="n"/>
    </row>
    <row r="34" ht="20.1" customHeight="1" s="234">
      <c r="A34" s="446" t="inlineStr">
        <is>
          <t>Refi @ Yr3 - annual debt service</t>
        </is>
      </c>
      <c r="B34" s="449">
        <f>IF(Inputs!$B$46=0,$B$33*Inputs!$B$43,-PMT(Inputs!$B$43,Inputs!$B$46,$B$33))</f>
        <v>466328.1314114633</v>
      </c>
      <c r="C34" s="446" t="n"/>
      <c r="D34" s="446" t="n"/>
      <c r="E34" s="446" t="n"/>
      <c r="F34" s="446" t="n"/>
      <c r="G34" s="430" t="n"/>
      <c r="H34" s="450" t="inlineStr">
        <is>
          <t>Interest-only unless an amortization term is set on Inputs.</t>
        </is>
      </c>
      <c r="I34" s="430" t="n"/>
      <c r="J34" s="430" t="n"/>
    </row>
    <row r="35" ht="20.1" customHeight="1" s="234">
      <c r="A35" s="446" t="inlineStr">
        <is>
          <t>Refi @ Yr3 - balance @ Yr5</t>
        </is>
      </c>
      <c r="B35" s="449">
        <f>IF(Inputs!$B$43=0,$B$33-$B$34*2,$B$33*(1+Inputs!$B$43)^2-$B$34*((1+Inputs!$B$43)^2-1)/Inputs!$B$43)</f>
        <v>8556479.475439694</v>
      </c>
      <c r="C35" s="446" t="n"/>
      <c r="D35" s="446" t="n"/>
      <c r="E35" s="446" t="n"/>
      <c r="F35" s="446" t="n"/>
      <c r="G35" s="430" t="n"/>
      <c r="H35" s="450" t="inlineStr">
        <is>
          <t>New refi loan payoff if sold in Year 5.</t>
        </is>
      </c>
      <c r="I35" s="430" t="n"/>
      <c r="J35" s="430" t="n"/>
    </row>
    <row r="36" ht="20.1" customHeight="1" s="234">
      <c r="A36" s="446" t="inlineStr">
        <is>
          <t>Refi @ Yr3 - balance @ Yr8</t>
        </is>
      </c>
      <c r="B36" s="449">
        <f>IF(Inputs!$B$43=0,$B$33-$B$34*5,$B$33*(1+Inputs!$B$43)^5-$B$34*((1+Inputs!$B$43)^5-1)/Inputs!$B$43)</f>
        <v>8556479.475439694</v>
      </c>
      <c r="C36" s="446" t="n"/>
      <c r="D36" s="446" t="n"/>
      <c r="E36" s="446" t="n"/>
      <c r="F36" s="446" t="n"/>
      <c r="G36" s="430" t="n"/>
      <c r="H36" s="450" t="inlineStr">
        <is>
          <t>New refi loan payoff if sold in Year 8.</t>
        </is>
      </c>
      <c r="I36" s="430" t="n"/>
      <c r="J36" s="430" t="n"/>
    </row>
    <row r="37" ht="9.949999999999999" customHeight="1" s="234">
      <c r="A37" s="430" t="inlineStr">
        <is>
          <t>Refi @ Yr5 - new loan</t>
        </is>
      </c>
      <c r="B37" s="451">
        <f>('Pro Forma'!$H$30/Inputs!$B$40)*Inputs!$B$41</f>
        <v>9077569.048268083</v>
      </c>
      <c r="C37" s="430" t="n"/>
      <c r="D37" s="430" t="n"/>
      <c r="E37" s="430" t="n"/>
      <c r="F37" s="430" t="n"/>
      <c r="G37" s="430" t="n"/>
      <c r="H37" s="450" t="inlineStr">
        <is>
          <t>Year 5 NOI / refi cap rate x refi LTV.</t>
        </is>
      </c>
      <c r="I37" s="430" t="n"/>
      <c r="J37" s="430" t="n"/>
    </row>
    <row r="38" ht="19.5" customHeight="1" s="234">
      <c r="A38" s="446" t="inlineStr">
        <is>
          <t>Refi @ Yr5 - annual debt service</t>
        </is>
      </c>
      <c r="B38" s="449">
        <f>IF(Inputs!$B$46=0,$B$37*Inputs!$B$43,-PMT(Inputs!$B$43,Inputs!$B$46,$B$37))</f>
        <v>494727.5131306106</v>
      </c>
      <c r="C38" s="446" t="n"/>
      <c r="D38" s="446" t="n"/>
      <c r="E38" s="446" t="n"/>
      <c r="F38" s="446" t="n"/>
      <c r="G38" s="430" t="n"/>
      <c r="H38" s="450" t="inlineStr">
        <is>
          <t>Interest-only unless an amortization term is set on Inputs.</t>
        </is>
      </c>
      <c r="I38" s="430" t="n"/>
      <c r="J38" s="430" t="n"/>
    </row>
    <row r="39" ht="15" customHeight="1" s="234">
      <c r="A39" s="446" t="inlineStr">
        <is>
          <t>Refi @ Yr5 - balance @ Yr8</t>
        </is>
      </c>
      <c r="B39" s="449">
        <f>IF(Inputs!$B$43=0,$B$37-$B$38*3,$B$37*(1+Inputs!$B$43)^3-$B$38*((1+Inputs!$B$43)^3-1)/Inputs!$B$43)</f>
        <v>9077569.048268083</v>
      </c>
      <c r="C39" s="446" t="n"/>
      <c r="D39" s="446" t="n"/>
      <c r="E39" s="446" t="n"/>
      <c r="F39" s="446" t="n"/>
      <c r="G39" s="430" t="n"/>
      <c r="H39" s="450" t="inlineStr">
        <is>
          <t>New refi loan payoff if sold in Year 8.</t>
        </is>
      </c>
      <c r="I39" s="430" t="n"/>
      <c r="J39" s="430" t="n"/>
    </row>
    <row r="40" ht="19.5" customHeight="1" s="234">
      <c r="A40" s="435" t="inlineStr">
        <is>
          <t>Operating Cash Flow by Year (Pro Forma NOI less debt service)</t>
        </is>
      </c>
      <c r="B40" s="446" t="n"/>
      <c r="C40" s="446" t="n"/>
      <c r="D40" s="446" t="n"/>
      <c r="E40" s="446" t="n"/>
      <c r="F40" s="430" t="n"/>
      <c r="G40" s="430" t="n"/>
      <c r="H40" s="450" t="inlineStr">
        <is>
          <t>Every scenario's cash flow is built from these rows, so the grid stays independent of the Inputs hold period on Debt &amp; Exit.</t>
        </is>
      </c>
      <c r="I40" s="430" t="n"/>
      <c r="J40" s="430" t="n"/>
    </row>
    <row r="41">
      <c r="A41" s="446" t="n"/>
      <c r="B41" s="452" t="inlineStr">
        <is>
          <t>Year 1</t>
        </is>
      </c>
      <c r="C41" s="452" t="inlineStr">
        <is>
          <t>Year 2</t>
        </is>
      </c>
      <c r="D41" s="452" t="inlineStr">
        <is>
          <t>Year 3</t>
        </is>
      </c>
      <c r="E41" s="452" t="inlineStr">
        <is>
          <t>Year 4</t>
        </is>
      </c>
      <c r="F41" s="453" t="inlineStr">
        <is>
          <t>Year 5</t>
        </is>
      </c>
      <c r="G41" s="453" t="inlineStr">
        <is>
          <t>Year 6</t>
        </is>
      </c>
      <c r="H41" s="453" t="inlineStr">
        <is>
          <t>Year 7</t>
        </is>
      </c>
      <c r="I41" s="453" t="inlineStr">
        <is>
          <t>Year 8</t>
        </is>
      </c>
      <c r="J41" s="430" t="n"/>
    </row>
    <row r="42">
      <c r="A42" s="435" t="inlineStr">
        <is>
          <t>On acquisition debt</t>
        </is>
      </c>
      <c r="B42" s="449">
        <f>'Pro Forma'!$D$30-$B$29</f>
        <v>159811.0511922044</v>
      </c>
      <c r="C42" s="449">
        <f>'Pro Forma'!$E$30-$B$29</f>
        <v>369222.64810107514</v>
      </c>
      <c r="D42" s="449">
        <f>'Pro Forma'!$F$30-$B$29</f>
        <v>402276.92476721265</v>
      </c>
      <c r="E42" s="449">
        <f>'Pro Forma'!$G$30-$B$29</f>
        <v>424095.94628958387</v>
      </c>
      <c r="F42" s="451">
        <f>'Pro Forma'!$H$30-$B$29</f>
        <v>446569.53845762584</v>
      </c>
      <c r="G42" s="451">
        <f>'Pro Forma'!$I$30-$B$29</f>
        <v>469717.3383907098</v>
      </c>
      <c r="H42" s="451">
        <f>'Pro Forma'!$J$30-$B$29</f>
        <v>493559.5723217859</v>
      </c>
      <c r="I42" s="451">
        <f>'Pro Forma'!$K$30-$B$29</f>
        <v>518117.0732707944</v>
      </c>
      <c r="J42" s="430" t="n"/>
    </row>
    <row r="43">
      <c r="A43" s="435" t="inlineStr">
        <is>
          <t>On Yr3 refi debt</t>
        </is>
      </c>
      <c r="B43" s="449" t="n"/>
      <c r="C43" s="449" t="n"/>
      <c r="D43" s="449" t="n"/>
      <c r="E43" s="449">
        <f>'Pro Forma'!$G$30-$B$34</f>
        <v>282791.6455232818</v>
      </c>
      <c r="F43" s="451">
        <f>'Pro Forma'!$H$30-$B$34</f>
        <v>305265.2376913238</v>
      </c>
      <c r="G43" s="451">
        <f>'Pro Forma'!$I$30-$B$34</f>
        <v>328413.03762440773</v>
      </c>
      <c r="H43" s="451">
        <f>'Pro Forma'!$J$30-$B$34</f>
        <v>352255.27155548387</v>
      </c>
      <c r="I43" s="451">
        <f>'Pro Forma'!$K$30-$B$34</f>
        <v>376812.7725044924</v>
      </c>
      <c r="J43" s="430" t="n"/>
    </row>
    <row r="44">
      <c r="A44" s="454" t="inlineStr">
        <is>
          <t>On Yr5 refi debt</t>
        </is>
      </c>
      <c r="B44" s="455" t="n"/>
      <c r="C44" s="455" t="n"/>
      <c r="D44" s="455" t="n"/>
      <c r="E44" s="455" t="n"/>
      <c r="F44" s="455" t="n"/>
      <c r="G44" s="455">
        <f>'Pro Forma'!$I$30-$B$38</f>
        <v>300013.6559052605</v>
      </c>
      <c r="H44" s="455">
        <f>'Pro Forma'!$J$30-$B$38</f>
        <v>323855.8898363366</v>
      </c>
      <c r="I44" s="455">
        <f>'Pro Forma'!$K$30-$B$38</f>
        <v>348413.3907853451</v>
      </c>
      <c r="J44" s="456" t="n"/>
    </row>
    <row r="45" ht="18.6" customHeight="1" s="234">
      <c r="A45" s="446" t="n"/>
      <c r="B45" s="446" t="n"/>
      <c r="C45" s="456" t="n"/>
      <c r="D45" s="456" t="n"/>
      <c r="E45" s="456" t="n"/>
      <c r="F45" s="456" t="n"/>
      <c r="G45" s="456" t="n"/>
      <c r="H45" s="456" t="n"/>
      <c r="I45" s="456" t="n"/>
      <c r="J45" s="456" t="n"/>
    </row>
    <row r="46">
      <c r="A46" s="457" t="inlineStr">
        <is>
          <t>DECISION SUMMARY - DOES EACH EXIT CLEAR OUR TARGETS?</t>
        </is>
      </c>
      <c r="B46" s="458" t="n"/>
      <c r="C46" s="458" t="n"/>
      <c r="D46" s="458" t="n"/>
      <c r="E46" s="458" t="n"/>
      <c r="F46" s="456" t="n"/>
      <c r="G46" s="456" t="n"/>
      <c r="H46" s="456" t="n"/>
      <c r="I46" s="456" t="n"/>
      <c r="J46" s="456" t="n"/>
    </row>
    <row r="47">
      <c r="A47" s="459" t="inlineStr">
        <is>
          <t>Scenario</t>
        </is>
      </c>
      <c r="B47" s="459" t="inlineStr">
        <is>
          <t>IRR</t>
        </is>
      </c>
      <c r="C47" s="459" t="inlineStr">
        <is>
          <t>vs IRR Target</t>
        </is>
      </c>
      <c r="D47" s="459" t="inlineStr">
        <is>
          <t>Yr2 CoC</t>
        </is>
      </c>
      <c r="E47" s="459" t="inlineStr">
        <is>
          <t>vs CoC Target</t>
        </is>
      </c>
      <c r="F47" s="456" t="n"/>
      <c r="G47" s="456" t="n"/>
      <c r="H47" s="456" t="n"/>
      <c r="I47" s="456" t="n"/>
      <c r="J47" s="456" t="n"/>
    </row>
    <row r="48">
      <c r="A48" s="460" t="inlineStr">
        <is>
          <t>Sale Year 3</t>
        </is>
      </c>
      <c r="B48" s="436">
        <f>B14</f>
        <v>0.2221319730711171</v>
      </c>
      <c r="C48" s="461" t="str">
        <f>IF(AND(ISNUMBER(B14),B14&gt;=Inputs!$B$47),"PASS","FLAG")</f>
        <v>PASS</v>
      </c>
      <c r="D48" s="436">
        <f>B16</f>
        <v>0.10061882593926758</v>
      </c>
      <c r="E48" s="461" t="str">
        <f>IF(B16&gt;=Inputs!$B$48,"PASS","FLAG")</f>
        <v>PASS</v>
      </c>
      <c r="F48" s="456" t="n"/>
      <c r="G48" s="456" t="n"/>
      <c r="H48" s="456" t="n"/>
      <c r="I48" s="456" t="n"/>
      <c r="J48" s="456" t="n"/>
    </row>
    <row r="49">
      <c r="A49" s="460" t="inlineStr">
        <is>
          <t>Sale Year 5</t>
        </is>
      </c>
      <c r="B49" s="436">
        <f>C14</f>
        <v>0.1904325573907768</v>
      </c>
      <c r="C49" s="461" t="str">
        <f>IF(AND(ISNUMBER(C14),C14&gt;=Inputs!$B$47),"PASS","FLAG")</f>
        <v>PASS</v>
      </c>
      <c r="D49" s="436">
        <f>C16</f>
        <v>0.10061882593926758</v>
      </c>
      <c r="E49" s="461" t="str">
        <f>IF(C16&gt;=Inputs!$B$48,"PASS","FLAG")</f>
        <v>PASS</v>
      </c>
      <c r="F49" s="456" t="n"/>
      <c r="G49" s="456" t="n"/>
      <c r="H49" s="456" t="n"/>
      <c r="I49" s="456" t="n"/>
      <c r="J49" s="456" t="n"/>
    </row>
    <row r="50">
      <c r="A50" s="460" t="inlineStr">
        <is>
          <t>Sale Year 8</t>
        </is>
      </c>
      <c r="B50" s="436">
        <f>D14</f>
        <v>0.17158252373255345</v>
      </c>
      <c r="C50" s="461" t="str">
        <f>IF(AND(ISNUMBER(D14),D14&gt;=Inputs!$B$47),"PASS","FLAG")</f>
        <v>PASS</v>
      </c>
      <c r="D50" s="436">
        <f>D16</f>
        <v>0.10061882593926758</v>
      </c>
      <c r="E50" s="461" t="str">
        <f>IF(D16&gt;=Inputs!$B$48,"PASS","FLAG")</f>
        <v>PASS</v>
      </c>
      <c r="F50" s="456" t="n"/>
      <c r="G50" s="456" t="n"/>
      <c r="H50" s="456" t="n"/>
      <c r="I50" s="456" t="n"/>
      <c r="J50" s="456" t="n"/>
    </row>
    <row r="51">
      <c r="A51" s="460" t="inlineStr">
        <is>
          <t>Refi Yr3 + Sale Yr5</t>
        </is>
      </c>
      <c r="B51" s="436">
        <f>E14</f>
        <v>0.21428408246271613</v>
      </c>
      <c r="C51" s="461" t="str">
        <f>IF(AND(ISNUMBER(E14),E14&gt;=Inputs!$B$47),"PASS","FLAG")</f>
        <v>PASS</v>
      </c>
      <c r="D51" s="436">
        <f>E16</f>
        <v>0.10061882593926758</v>
      </c>
      <c r="E51" s="461" t="str">
        <f>IF(E16&gt;=Inputs!$B$48,"PASS","FLAG")</f>
        <v>PASS</v>
      </c>
      <c r="F51" s="456" t="n"/>
      <c r="G51" s="456" t="n"/>
      <c r="H51" s="456" t="n"/>
      <c r="I51" s="456" t="n"/>
      <c r="J51" s="456" t="n"/>
    </row>
    <row r="52">
      <c r="A52" s="460" t="inlineStr">
        <is>
          <t>Refi Yr3 + Sale Yr8</t>
        </is>
      </c>
      <c r="B52" s="436">
        <f>F14</f>
        <v>0.2071723356267623</v>
      </c>
      <c r="C52" s="461" t="str">
        <f>IF(AND(ISNUMBER(F14),F14&gt;=Inputs!$B$47),"PASS","FLAG")</f>
        <v>PASS</v>
      </c>
      <c r="D52" s="436">
        <f>F16</f>
        <v>0.10061882593926758</v>
      </c>
      <c r="E52" s="461" t="str">
        <f>IF(F16&gt;=Inputs!$B$48,"PASS","FLAG")</f>
        <v>PASS</v>
      </c>
      <c r="F52" s="456" t="n"/>
      <c r="G52" s="456" t="n"/>
      <c r="H52" s="456" t="n"/>
      <c r="I52" s="456" t="n"/>
      <c r="J52" s="456" t="n"/>
    </row>
    <row r="53">
      <c r="A53" s="460" t="inlineStr">
        <is>
          <t>Refi Yr5 + Sale Yr8</t>
        </is>
      </c>
      <c r="B53" s="436">
        <f>G14</f>
        <v>0.19016912794009544</v>
      </c>
      <c r="C53" s="461" t="str">
        <f>IF(AND(ISNUMBER(G14),G14&gt;=Inputs!$B$47),"PASS","FLAG")</f>
        <v>PASS</v>
      </c>
      <c r="D53" s="436">
        <f>G16</f>
        <v>0.10061882593926758</v>
      </c>
      <c r="E53" s="461" t="str">
        <f>IF(G16&gt;=Inputs!$B$48,"PASS","FLAG")</f>
        <v>PASS</v>
      </c>
      <c r="F53" s="456" t="n"/>
      <c r="G53" s="456" t="n"/>
      <c r="H53" s="456" t="n"/>
      <c r="I53" s="456" t="n"/>
      <c r="J53" s="456" t="n"/>
    </row>
    <row r="54">
      <c r="A54" s="456" t="n"/>
      <c r="B54" s="456" t="n"/>
      <c r="C54" s="456" t="n"/>
      <c r="D54" s="456" t="n"/>
      <c r="E54" s="456" t="n"/>
      <c r="F54" s="456" t="n"/>
      <c r="G54" s="456" t="n"/>
      <c r="H54" s="456" t="n"/>
      <c r="I54" s="456" t="n"/>
      <c r="J54" s="456" t="n"/>
    </row>
    <row r="55" ht="46" customHeight="1" s="234">
      <c r="A55" s="454" t="inlineStr">
        <is>
          <t>How to read this</t>
        </is>
      </c>
      <c r="B55" s="462" t="inlineStr">
        <is>
          <t>IRR is an ANNUALISED return, so a later sale can earn more total profit at a lower IRR. Where the renovation programme finishes before the hold ends, NOI flattens to inflation and every extra year dilutes the IRR - which is why an early sale, or a refinance that pulls cash out at the top of the lift and keeps the asset, usually scores best. Read IRR and Equity Multiple together, never alone.</t>
        </is>
      </c>
      <c r="C55" s="456" t="n"/>
      <c r="D55" s="456" t="n"/>
      <c r="E55" s="456" t="n"/>
      <c r="F55" s="456" t="n"/>
      <c r="G55" s="456" t="n"/>
      <c r="H55" s="456" t="n"/>
      <c r="I55" s="456" t="n"/>
      <c r="J55" s="456" t="n"/>
    </row>
    <row r="56">
      <c r="A56" s="456" t="n"/>
      <c r="B56" s="456" t="n"/>
      <c r="C56" s="456" t="n"/>
      <c r="D56" s="456" t="n"/>
      <c r="E56" s="456" t="n"/>
      <c r="F56" s="456" t="n"/>
      <c r="G56" s="456" t="n"/>
      <c r="H56" s="456" t="n"/>
      <c r="I56" s="456" t="n"/>
      <c r="J56" s="456" t="n"/>
    </row>
  </sheetData>
  <mergeCells count="1">
    <mergeCell ref="B55:J55"/>
  </mergeCells>
  <conditionalFormatting sqref="C48:C53">
    <cfRule type="expression" priority="1" dxfId="5">
      <formula>EXACT(C48,"PASS")</formula>
    </cfRule>
    <cfRule type="expression" priority="2" dxfId="6">
      <formula>EXACT(C48,"FLAG")</formula>
    </cfRule>
  </conditionalFormatting>
  <conditionalFormatting sqref="E48:E53">
    <cfRule type="expression" priority="3" dxfId="5">
      <formula>EXACT(E48,"PASS")</formula>
    </cfRule>
    <cfRule type="expression" priority="4" dxfId="6">
      <formula>EXACT(E48,"FLAG")</formula>
    </cfRule>
  </conditionalFormatting>
  <conditionalFormatting sqref="A48:E53">
    <cfRule type="expression" priority="5" dxfId="7">
      <formula>$B48=MAX($B$48:$B$53)</formula>
    </cfRule>
  </conditionalFormatting>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T47"/>
  <sheetViews>
    <sheetView showGridLines="0"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4.25"/>
  <cols>
    <col width="42" customWidth="1" style="234" min="1" max="1"/>
    <col width="13" customWidth="1" style="234" min="2" max="16"/>
    <col width="13" customWidth="1" style="234" min="12" max="12"/>
    <col width="13" customWidth="1" style="234" min="13" max="13"/>
    <col width="13" customWidth="1" style="234" min="14" max="14"/>
    <col width="13" customWidth="1" style="234" min="15" max="15"/>
    <col width="13" customWidth="1" style="234" min="16" max="16"/>
    <col width="13" customWidth="1" style="234" min="17" max="17"/>
    <col width="13" customWidth="1" style="234" min="18" max="18"/>
    <col width="13" customWidth="1" style="234" min="19" max="19"/>
    <col width="13" customWidth="1" style="234" min="20" max="20"/>
  </cols>
  <sheetData>
    <row r="1" ht="18" customHeight="1" s="234">
      <c r="A1" s="463" t="inlineStr">
        <is>
          <t>Max Price Solver - What Purchase Price Makes This Deal Work?  (sale in the Inputs hold-period year)</t>
        </is>
      </c>
      <c r="B1" s="248" t="n"/>
      <c r="C1" s="248" t="n"/>
      <c r="D1" s="248" t="n"/>
      <c r="E1" s="248" t="n"/>
      <c r="F1" s="248" t="n"/>
      <c r="G1" s="248" t="n"/>
      <c r="H1" s="248" t="n"/>
      <c r="I1" s="248" t="n"/>
      <c r="J1" s="248" t="n"/>
      <c r="K1" s="248" t="n"/>
      <c r="L1" s="248" t="n"/>
      <c r="M1" s="248" t="n"/>
      <c r="N1" s="248" t="n"/>
      <c r="O1" s="248" t="n"/>
      <c r="P1" s="248" t="n"/>
    </row>
    <row r="2" ht="21.95" customFormat="1" customHeight="1" s="248">
      <c r="A2" s="310">
        <f>B42</f>
        <v>8912387.386848105</v>
      </c>
      <c r="B2" s="310">
        <f>B43</f>
        <v>92837.36861300109</v>
      </c>
      <c r="C2" s="311">
        <f>B44</f>
        <v>-0.05569771211100649</v>
      </c>
      <c r="D2" s="464">
        <f>'Debt &amp; Exit'!$B$6</f>
        <v>8442177.41935484</v>
      </c>
    </row>
    <row r="3" ht="12.95" customFormat="1" customHeight="1" s="248">
      <c r="A3" s="262" t="inlineStr">
        <is>
          <t>MAX PRICE @ 16% IRR</t>
        </is>
      </c>
      <c r="B3" s="262" t="inlineStr">
        <is>
          <t>MAX PRICE / UNIT</t>
        </is>
      </c>
      <c r="C3" s="262" t="inlineStr">
        <is>
          <t>DISCOUNT vs ASK</t>
        </is>
      </c>
      <c r="D3" s="262" t="inlineStr">
        <is>
          <t>CURRENT ASK</t>
        </is>
      </c>
    </row>
    <row r="4" ht="31.5" customHeight="1" s="234">
      <c r="A4" s="252" t="inlineStr">
        <is>
          <t>Each column reprices the whole deal at a different purchase cap rate: price, loan, equity, debt service, and property tax. If county tax inputs are missing, taxes fall back to actual T12 property tax grown forward. All other assumptions come from the Inputs tab.</t>
        </is>
      </c>
      <c r="I4" s="248" t="n"/>
      <c r="J4" s="248" t="n"/>
      <c r="K4" s="248" t="n"/>
      <c r="L4" s="248" t="n"/>
      <c r="M4" s="248" t="n"/>
      <c r="N4" s="248" t="n"/>
      <c r="O4" s="248" t="n"/>
      <c r="P4" s="248" t="n"/>
    </row>
    <row r="5" ht="18.75" customHeight="1" s="234"/>
    <row r="6" ht="15" customHeight="1" s="234">
      <c r="A6" s="270" t="inlineStr">
        <is>
          <t>Metric</t>
        </is>
      </c>
      <c r="B6" s="465" t="inlineStr">
        <is>
          <t>Cap 3.00%</t>
        </is>
      </c>
      <c r="C6" s="465" t="inlineStr">
        <is>
          <t>Cap 3.50%</t>
        </is>
      </c>
      <c r="D6" s="465" t="inlineStr">
        <is>
          <t>Cap 4.00%</t>
        </is>
      </c>
      <c r="E6" s="465" t="inlineStr">
        <is>
          <t>Cap 4.50%</t>
        </is>
      </c>
      <c r="F6" s="465" t="inlineStr">
        <is>
          <t>Cap 5.00%</t>
        </is>
      </c>
      <c r="G6" s="465" t="inlineStr">
        <is>
          <t>Cap 5.50%</t>
        </is>
      </c>
      <c r="H6" s="465" t="inlineStr">
        <is>
          <t>Cap 6.00%</t>
        </is>
      </c>
      <c r="I6" s="465" t="inlineStr">
        <is>
          <t>Cap 6.50%</t>
        </is>
      </c>
      <c r="J6" s="465" t="inlineStr">
        <is>
          <t>Cap 7.00%</t>
        </is>
      </c>
      <c r="K6" s="465" t="inlineStr">
        <is>
          <t>Cap 7.50%</t>
        </is>
      </c>
      <c r="L6" s="465" t="inlineStr">
        <is>
          <t>Cap 8.00%</t>
        </is>
      </c>
      <c r="M6" s="465" t="inlineStr">
        <is>
          <t>Cap 8.50%</t>
        </is>
      </c>
      <c r="N6" s="465" t="inlineStr">
        <is>
          <t>Cap 9.00%</t>
        </is>
      </c>
      <c r="O6" s="465" t="inlineStr">
        <is>
          <t>Cap 9.50%</t>
        </is>
      </c>
      <c r="P6" s="465" t="inlineStr">
        <is>
          <t>Cap 10.00%</t>
        </is>
      </c>
      <c r="Q6" s="465" t="inlineStr">
        <is>
          <t>Cap 10.50%</t>
        </is>
      </c>
      <c r="R6" s="465" t="inlineStr">
        <is>
          <t>Cap 11.00%</t>
        </is>
      </c>
      <c r="S6" s="465" t="inlineStr">
        <is>
          <t>Cap 11.50%</t>
        </is>
      </c>
      <c r="T6" s="465" t="inlineStr">
        <is>
          <t>Cap 12.00%</t>
        </is>
      </c>
    </row>
    <row r="7">
      <c r="A7" s="39" t="inlineStr">
        <is>
          <t>Candidate Purchase Cap Rate</t>
        </is>
      </c>
      <c r="B7" s="466" t="n">
        <v>0.03</v>
      </c>
      <c r="C7" s="466" t="n">
        <v>0.035</v>
      </c>
      <c r="D7" s="466" t="n">
        <v>0.04</v>
      </c>
      <c r="E7" s="466" t="n">
        <v>0.045</v>
      </c>
      <c r="F7" s="466" t="n">
        <v>0.05</v>
      </c>
      <c r="G7" s="466" t="n">
        <v>0.055</v>
      </c>
      <c r="H7" s="466" t="n">
        <v>0.06</v>
      </c>
      <c r="I7" s="466" t="n">
        <v>0.065</v>
      </c>
      <c r="J7" s="466" t="n">
        <v>0.07000000000000001</v>
      </c>
      <c r="K7" s="466" t="n">
        <v>0.075</v>
      </c>
      <c r="L7" s="466" t="n">
        <v>0.08</v>
      </c>
      <c r="M7" s="466" t="n">
        <v>0.08500000000000001</v>
      </c>
      <c r="N7" s="466" t="n">
        <v>0.09</v>
      </c>
      <c r="O7" s="466" t="n">
        <v>0.095</v>
      </c>
      <c r="P7" s="466" t="n">
        <v>0.1</v>
      </c>
      <c r="Q7" s="466" t="n">
        <v>0.105</v>
      </c>
      <c r="R7" s="466" t="n">
        <v>0.11</v>
      </c>
      <c r="S7" s="466" t="n">
        <v>0.115</v>
      </c>
      <c r="T7" s="466" t="n">
        <v>0.12</v>
      </c>
    </row>
    <row r="8" ht="15" customHeight="1" s="234">
      <c r="A8" s="41" t="inlineStr">
        <is>
          <t>Implied Purchase Price</t>
        </is>
      </c>
      <c r="B8" s="467">
        <f>'T12 Actuals'!$B$23/B7</f>
        <v>17447166.666666668</v>
      </c>
      <c r="C8" s="467">
        <f>'T12 Actuals'!$B$23/C7</f>
        <v>14954714.285714284</v>
      </c>
      <c r="D8" s="467">
        <f>'T12 Actuals'!$B$23/D7</f>
        <v>13085375</v>
      </c>
      <c r="E8" s="467">
        <f>'T12 Actuals'!$B$23/E7</f>
        <v>11631444.444444444</v>
      </c>
      <c r="F8" s="467">
        <f>'T12 Actuals'!$B$23/F7</f>
        <v>10468300</v>
      </c>
      <c r="G8" s="467">
        <f>'T12 Actuals'!$B$23/G7</f>
        <v>9516636.363636363</v>
      </c>
      <c r="H8" s="467">
        <f>'T12 Actuals'!$B$23/H7</f>
        <v>8723583.333333334</v>
      </c>
      <c r="I8" s="467">
        <f>'T12 Actuals'!$B$23/I7</f>
        <v>8052538.461538461</v>
      </c>
      <c r="J8" s="467">
        <f>'T12 Actuals'!$B$23/J7</f>
        <v>7477357.142857142</v>
      </c>
      <c r="K8" s="467">
        <f>'T12 Actuals'!$B$23/K7</f>
        <v>6978866.666666667</v>
      </c>
      <c r="L8" s="467">
        <f>'T12 Actuals'!$B$23/L7</f>
        <v>6542687.5</v>
      </c>
      <c r="M8" s="467">
        <f>'T12 Actuals'!$B$23/M7</f>
        <v>6157823.529411764</v>
      </c>
      <c r="N8" s="467">
        <f>'T12 Actuals'!$B$23/N7</f>
        <v>5815722.222222222</v>
      </c>
      <c r="O8" s="467">
        <f>'T12 Actuals'!$B$23/O7</f>
        <v>5509631.578947368</v>
      </c>
      <c r="P8" s="467">
        <f>'T12 Actuals'!$B$23/P7</f>
        <v>5234150</v>
      </c>
      <c r="Q8" s="467">
        <f>'T12 Actuals'!$B$23/Q7</f>
        <v>4984904.761904762</v>
      </c>
      <c r="R8" s="467">
        <f>'T12 Actuals'!$B$23/R7</f>
        <v>4758318.181818182</v>
      </c>
      <c r="S8" s="467">
        <f>'T12 Actuals'!$B$23/S7</f>
        <v>4551434.782608695</v>
      </c>
      <c r="T8" s="467">
        <f>'T12 Actuals'!$B$23/T7</f>
        <v>4361791.666666667</v>
      </c>
    </row>
    <row r="9">
      <c r="A9" s="39" t="inlineStr">
        <is>
          <t>Price Per Unit</t>
        </is>
      </c>
      <c r="B9" s="468">
        <f>IFERROR(B8/Inputs!$B$13,0)</f>
        <v>181741.31944444447</v>
      </c>
      <c r="C9" s="468">
        <f>IFERROR(C8/Inputs!$B$13,0)</f>
        <v>155778.2738095238</v>
      </c>
      <c r="D9" s="468">
        <f>IFERROR(D8/Inputs!$B$13,0)</f>
        <v>136305.98958333334</v>
      </c>
      <c r="E9" s="468">
        <f>IFERROR(E8/Inputs!$B$13,0)</f>
        <v>121160.87962962962</v>
      </c>
      <c r="F9" s="468">
        <f>IFERROR(F8/Inputs!$B$13,0)</f>
        <v>109044.79166666667</v>
      </c>
      <c r="G9" s="468">
        <f>IFERROR(G8/Inputs!$B$13,0)</f>
        <v>99131.62878787878</v>
      </c>
      <c r="H9" s="468">
        <f>IFERROR(H8/Inputs!$B$13,0)</f>
        <v>90870.65972222223</v>
      </c>
      <c r="I9" s="468">
        <f>IFERROR(I8/Inputs!$B$13,0)</f>
        <v>83880.60897435897</v>
      </c>
      <c r="J9" s="468">
        <f>IFERROR(J8/Inputs!$B$13,0)</f>
        <v>77889.1369047619</v>
      </c>
      <c r="K9" s="468">
        <f>IFERROR(K8/Inputs!$B$13,0)</f>
        <v>72696.52777777778</v>
      </c>
      <c r="L9" s="468">
        <f>IFERROR(L8/Inputs!$B$13,0)</f>
        <v>68152.99479166667</v>
      </c>
      <c r="M9" s="468">
        <f>IFERROR(M8/Inputs!$B$13,0)</f>
        <v>64143.99509803921</v>
      </c>
      <c r="N9" s="468">
        <f>IFERROR(N8/Inputs!$B$13,0)</f>
        <v>60580.43981481481</v>
      </c>
      <c r="O9" s="468">
        <f>IFERROR(O8/Inputs!$B$13,0)</f>
        <v>57391.995614035084</v>
      </c>
      <c r="P9" s="468">
        <f>IFERROR(P8/Inputs!$B$13,0)</f>
        <v>54522.395833333336</v>
      </c>
      <c r="Q9" s="468">
        <f>IFERROR(Q8/Inputs!$B$13,0)</f>
        <v>51926.09126984127</v>
      </c>
      <c r="R9" s="468">
        <f>IFERROR(R8/Inputs!$B$13,0)</f>
        <v>49565.81439393939</v>
      </c>
      <c r="S9" s="468">
        <f>IFERROR(S8/Inputs!$B$13,0)</f>
        <v>47410.77898550724</v>
      </c>
      <c r="T9" s="468">
        <f>IFERROR(T8/Inputs!$B$13,0)</f>
        <v>45435.32986111112</v>
      </c>
    </row>
    <row r="10">
      <c r="A10" s="39" t="inlineStr">
        <is>
          <t>Loan Amount (70% LTV)</t>
        </is>
      </c>
      <c r="B10" s="468">
        <f>B8*Inputs!$B$15</f>
        <v>12213016.666666666</v>
      </c>
      <c r="C10" s="468">
        <f>C8*Inputs!$B$15</f>
        <v>10468299.999999998</v>
      </c>
      <c r="D10" s="468">
        <f>D8*Inputs!$B$15</f>
        <v>9159762.5</v>
      </c>
      <c r="E10" s="468">
        <f>E8*Inputs!$B$15</f>
        <v>8142011.11111111</v>
      </c>
      <c r="F10" s="468">
        <f>F8*Inputs!$B$15</f>
        <v>7327810</v>
      </c>
      <c r="G10" s="468">
        <f>G8*Inputs!$B$15</f>
        <v>6661645.454545454</v>
      </c>
      <c r="H10" s="468">
        <f>H8*Inputs!$B$15</f>
        <v>6106508.333333333</v>
      </c>
      <c r="I10" s="468">
        <f>I8*Inputs!$B$15</f>
        <v>5636776.923076922</v>
      </c>
      <c r="J10" s="468">
        <f>J8*Inputs!$B$15</f>
        <v>5234149.999999999</v>
      </c>
      <c r="K10" s="468">
        <f>K8*Inputs!$B$15</f>
        <v>4885206.666666667</v>
      </c>
      <c r="L10" s="468">
        <f>L8*Inputs!$B$15</f>
        <v>4579881.25</v>
      </c>
      <c r="M10" s="468">
        <f>M8*Inputs!$B$15</f>
        <v>4310476.470588234</v>
      </c>
      <c r="N10" s="468">
        <f>N8*Inputs!$B$15</f>
        <v>4071005.555555555</v>
      </c>
      <c r="O10" s="468">
        <f>O8*Inputs!$B$15</f>
        <v>3856742.1052631573</v>
      </c>
      <c r="P10" s="468">
        <f>P8*Inputs!$B$15</f>
        <v>3663905</v>
      </c>
      <c r="Q10" s="468">
        <f>Q8*Inputs!$B$15</f>
        <v>3489433.3333333335</v>
      </c>
      <c r="R10" s="468">
        <f>R8*Inputs!$B$15</f>
        <v>3330822.727272727</v>
      </c>
      <c r="S10" s="468">
        <f>S8*Inputs!$B$15</f>
        <v>3186004.3478260865</v>
      </c>
      <c r="T10" s="468">
        <f>T8*Inputs!$B$15</f>
        <v>3053254.1666666665</v>
      </c>
    </row>
    <row r="11">
      <c r="A11" s="39" t="inlineStr">
        <is>
          <t>Initial Equity (price + capex + 3% closing - loan)</t>
        </is>
      </c>
      <c r="B11" s="468">
        <f>B8+Inputs!$B$36+B8*Inputs!$B$20-B10</f>
        <v>6641165.000000002</v>
      </c>
      <c r="C11" s="468">
        <f>C8+Inputs!$B$36+C8*Inputs!$B$20-C10</f>
        <v>5818655.714285715</v>
      </c>
      <c r="D11" s="468">
        <f>D8+Inputs!$B$36+D8*Inputs!$B$20-D10</f>
        <v>5201773.75</v>
      </c>
      <c r="E11" s="468">
        <f>E8+Inputs!$B$36+E8*Inputs!$B$20-E10</f>
        <v>4721976.666666668</v>
      </c>
      <c r="F11" s="468">
        <f>F8+Inputs!$B$36+F8*Inputs!$B$20-F10</f>
        <v>4338139</v>
      </c>
      <c r="G11" s="468">
        <f>G8+Inputs!$B$36+G8*Inputs!$B$20-G10</f>
        <v>4024090.000000001</v>
      </c>
      <c r="H11" s="468">
        <f>H8+Inputs!$B$36+H8*Inputs!$B$20-H10</f>
        <v>3762382.500000001</v>
      </c>
      <c r="I11" s="468">
        <f>I8+Inputs!$B$36+I8*Inputs!$B$20-I10</f>
        <v>3540937.692307692</v>
      </c>
      <c r="J11" s="468">
        <f>J8+Inputs!$B$36+J8*Inputs!$B$20-J10</f>
        <v>3351127.8571428573</v>
      </c>
      <c r="K11" s="468">
        <f>K8+Inputs!$B$36+K8*Inputs!$B$20-K10</f>
        <v>3186626</v>
      </c>
      <c r="L11" s="468">
        <f>L8+Inputs!$B$36+L8*Inputs!$B$20-L10</f>
        <v>3042686.875</v>
      </c>
      <c r="M11" s="468">
        <f>M8+Inputs!$B$36+M8*Inputs!$B$20-M10</f>
        <v>2915681.7647058824</v>
      </c>
      <c r="N11" s="468">
        <f>N8+Inputs!$B$36+N8*Inputs!$B$20-N10</f>
        <v>2802788.333333334</v>
      </c>
      <c r="O11" s="468">
        <f>O8+Inputs!$B$36+O8*Inputs!$B$20-O10</f>
        <v>2701778.4210526315</v>
      </c>
      <c r="P11" s="468">
        <f>P8+Inputs!$B$36+P8*Inputs!$B$20-P10</f>
        <v>2610869.5</v>
      </c>
      <c r="Q11" s="468">
        <f>Q8+Inputs!$B$36+Q8*Inputs!$B$20-Q10</f>
        <v>2528618.5714285714</v>
      </c>
      <c r="R11" s="468">
        <f>R8+Inputs!$B$36+R8*Inputs!$B$20-R10</f>
        <v>2453845.0000000005</v>
      </c>
      <c r="S11" s="468">
        <f>S8+Inputs!$B$36+S8*Inputs!$B$20-S10</f>
        <v>2385573.4782608696</v>
      </c>
      <c r="T11" s="468">
        <f>T8+Inputs!$B$36+T8*Inputs!$B$20-T10</f>
        <v>2322991.2500000005</v>
      </c>
    </row>
    <row r="12">
      <c r="A12" s="39" t="inlineStr">
        <is>
          <t>Annual Debt Service</t>
        </is>
      </c>
      <c r="B12" s="468">
        <f>IF(Inputs!$B$46=0,B10*Inputs!$B$16,-PMT(Inputs!$B$16,Inputs!$B$46,B10))</f>
        <v>671715.9166666666</v>
      </c>
      <c r="C12" s="468">
        <f>IF(Inputs!$B$46=0,C10*Inputs!$B$16,-PMT(Inputs!$B$16,Inputs!$B$46,C10))</f>
        <v>575756.4999999999</v>
      </c>
      <c r="D12" s="468">
        <f>IF(Inputs!$B$46=0,D10*Inputs!$B$16,-PMT(Inputs!$B$16,Inputs!$B$46,D10))</f>
        <v>503786.9375</v>
      </c>
      <c r="E12" s="468">
        <f>IF(Inputs!$B$46=0,E10*Inputs!$B$16,-PMT(Inputs!$B$16,Inputs!$B$46,E10))</f>
        <v>447810.61111111107</v>
      </c>
      <c r="F12" s="468">
        <f>IF(Inputs!$B$46=0,F10*Inputs!$B$16,-PMT(Inputs!$B$16,Inputs!$B$46,F10))</f>
        <v>403029.55</v>
      </c>
      <c r="G12" s="468">
        <f>IF(Inputs!$B$46=0,G10*Inputs!$B$16,-PMT(Inputs!$B$16,Inputs!$B$46,G10))</f>
        <v>366390.5</v>
      </c>
      <c r="H12" s="468">
        <f>IF(Inputs!$B$46=0,H10*Inputs!$B$16,-PMT(Inputs!$B$16,Inputs!$B$46,H10))</f>
        <v>335857.9583333333</v>
      </c>
      <c r="I12" s="468">
        <f>IF(Inputs!$B$46=0,I10*Inputs!$B$16,-PMT(Inputs!$B$16,Inputs!$B$46,I10))</f>
        <v>310022.7307692307</v>
      </c>
      <c r="J12" s="468">
        <f>IF(Inputs!$B$46=0,J10*Inputs!$B$16,-PMT(Inputs!$B$16,Inputs!$B$46,J10))</f>
        <v>287878.24999999994</v>
      </c>
      <c r="K12" s="468">
        <f>IF(Inputs!$B$46=0,K10*Inputs!$B$16,-PMT(Inputs!$B$16,Inputs!$B$46,K10))</f>
        <v>268686.3666666667</v>
      </c>
      <c r="L12" s="468">
        <f>IF(Inputs!$B$46=0,L10*Inputs!$B$16,-PMT(Inputs!$B$16,Inputs!$B$46,L10))</f>
        <v>251893.46875</v>
      </c>
      <c r="M12" s="468">
        <f>IF(Inputs!$B$46=0,M10*Inputs!$B$16,-PMT(Inputs!$B$16,Inputs!$B$46,M10))</f>
        <v>237076.2058823529</v>
      </c>
      <c r="N12" s="468">
        <f>IF(Inputs!$B$46=0,N10*Inputs!$B$16,-PMT(Inputs!$B$16,Inputs!$B$46,N10))</f>
        <v>223905.30555555553</v>
      </c>
      <c r="O12" s="468">
        <f>IF(Inputs!$B$46=0,O10*Inputs!$B$16,-PMT(Inputs!$B$16,Inputs!$B$46,O10))</f>
        <v>212120.81578947365</v>
      </c>
      <c r="P12" s="468">
        <f>IF(Inputs!$B$46=0,P10*Inputs!$B$16,-PMT(Inputs!$B$16,Inputs!$B$46,P10))</f>
        <v>201514.775</v>
      </c>
      <c r="Q12" s="468">
        <f>IF(Inputs!$B$46=0,Q10*Inputs!$B$16,-PMT(Inputs!$B$16,Inputs!$B$46,Q10))</f>
        <v>191918.83333333334</v>
      </c>
      <c r="R12" s="468">
        <f>IF(Inputs!$B$46=0,R10*Inputs!$B$16,-PMT(Inputs!$B$16,Inputs!$B$46,R10))</f>
        <v>183195.25</v>
      </c>
      <c r="S12" s="468">
        <f>IF(Inputs!$B$46=0,S10*Inputs!$B$16,-PMT(Inputs!$B$16,Inputs!$B$46,S10))</f>
        <v>175230.23913043475</v>
      </c>
      <c r="T12" s="468">
        <f>IF(Inputs!$B$46=0,T10*Inputs!$B$16,-PMT(Inputs!$B$16,Inputs!$B$46,T10))</f>
        <v>167928.97916666666</v>
      </c>
    </row>
    <row r="13">
      <c r="A13" s="39" t="inlineStr">
        <is>
          <t>Year 1 Property Tax (per reassessment policy)</t>
        </is>
      </c>
      <c r="B13" s="468">
        <f>IF(OR(Tax!$B$8&lt;=0,Tax!$B$9&lt;=0),Tax!$B$13,(Tax!$B$8+(B8-Tax!$B$8)*Tax!$B$19)*Tax!$B$9/1000+Tax!$B$10)</f>
        <v>291800.7925</v>
      </c>
      <c r="C13" s="468">
        <f>IF(OR(Tax!$B$8&lt;=0,Tax!$B$9&lt;=0),Tax!$B$13,(Tax!$B$8+(C8-Tax!$B$8)*Tax!$B$19)*Tax!$B$9/1000+Tax!$B$10)</f>
        <v>261928.75071428568</v>
      </c>
      <c r="D13" s="468">
        <f>IF(OR(Tax!$B$8&lt;=0,Tax!$B$9&lt;=0),Tax!$B$13,(Tax!$B$8+(D8-Tax!$B$8)*Tax!$B$19)*Tax!$B$9/1000+Tax!$B$10)</f>
        <v>239524.719375</v>
      </c>
      <c r="E13" s="468">
        <f>IF(OR(Tax!$B$8&lt;=0,Tax!$B$9&lt;=0),Tax!$B$13,(Tax!$B$8+(E8-Tax!$B$8)*Tax!$B$19)*Tax!$B$9/1000+Tax!$B$10)</f>
        <v>222099.36166666666</v>
      </c>
      <c r="F13" s="468">
        <f>IF(OR(Tax!$B$8&lt;=0,Tax!$B$9&lt;=0),Tax!$B$13,(Tax!$B$8+(F8-Tax!$B$8)*Tax!$B$19)*Tax!$B$9/1000+Tax!$B$10)</f>
        <v>208159.0755</v>
      </c>
      <c r="G13" s="468">
        <f>IF(OR(Tax!$B$8&lt;=0,Tax!$B$9&lt;=0),Tax!$B$13,(Tax!$B$8+(G8-Tax!$B$8)*Tax!$B$19)*Tax!$B$9/1000+Tax!$B$10)</f>
        <v>196753.3868181818</v>
      </c>
      <c r="H13" s="468">
        <f>IF(OR(Tax!$B$8&lt;=0,Tax!$B$9&lt;=0),Tax!$B$13,(Tax!$B$8+(H8-Tax!$B$8)*Tax!$B$19)*Tax!$B$9/1000+Tax!$B$10)</f>
        <v>187248.64625</v>
      </c>
      <c r="I13" s="468">
        <f>IF(OR(Tax!$B$8&lt;=0,Tax!$B$9&lt;=0),Tax!$B$13,(Tax!$B$8+(I8-Tax!$B$8)*Tax!$B$19)*Tax!$B$9/1000+Tax!$B$10)</f>
        <v>179206.17346153845</v>
      </c>
      <c r="J13" s="468">
        <f>IF(OR(Tax!$B$8&lt;=0,Tax!$B$9&lt;=0),Tax!$B$13,(Tax!$B$8+(J8-Tax!$B$8)*Tax!$B$19)*Tax!$B$9/1000+Tax!$B$10)</f>
        <v>172312.62535714282</v>
      </c>
      <c r="K13" s="468">
        <f>IF(OR(Tax!$B$8&lt;=0,Tax!$B$9&lt;=0),Tax!$B$13,(Tax!$B$8+(K8-Tax!$B$8)*Tax!$B$19)*Tax!$B$9/1000+Tax!$B$10)</f>
        <v>166338.217</v>
      </c>
      <c r="L13" s="468">
        <f>IF(OR(Tax!$B$8&lt;=0,Tax!$B$9&lt;=0),Tax!$B$13,(Tax!$B$8+(L8-Tax!$B$8)*Tax!$B$19)*Tax!$B$9/1000+Tax!$B$10)</f>
        <v>161110.6096875</v>
      </c>
      <c r="M13" s="468">
        <f>IF(OR(Tax!$B$8&lt;=0,Tax!$B$9&lt;=0),Tax!$B$13,(Tax!$B$8+(M8-Tax!$B$8)*Tax!$B$19)*Tax!$B$9/1000+Tax!$B$10)</f>
        <v>156498.01499999996</v>
      </c>
      <c r="N13" s="468">
        <f>IF(OR(Tax!$B$8&lt;=0,Tax!$B$9&lt;=0),Tax!$B$13,(Tax!$B$8+(N8-Tax!$B$8)*Tax!$B$19)*Tax!$B$9/1000+Tax!$B$10)</f>
        <v>152397.93083333332</v>
      </c>
      <c r="O13" s="468">
        <f>IF(OR(Tax!$B$8&lt;=0,Tax!$B$9&lt;=0),Tax!$B$13,(Tax!$B$8+(O8-Tax!$B$8)*Tax!$B$19)*Tax!$B$9/1000+Tax!$B$10)</f>
        <v>148729.43447368423</v>
      </c>
      <c r="P13" s="468">
        <f>IF(OR(Tax!$B$8&lt;=0,Tax!$B$9&lt;=0),Tax!$B$13,(Tax!$B$8+(P8-Tax!$B$8)*Tax!$B$19)*Tax!$B$9/1000+Tax!$B$10)</f>
        <v>145427.78775</v>
      </c>
      <c r="Q13" s="468">
        <f>IF(OR(Tax!$B$8&lt;=0,Tax!$B$9&lt;=0),Tax!$B$13,(Tax!$B$8+(Q8-Tax!$B$8)*Tax!$B$19)*Tax!$B$9/1000+Tax!$B$10)</f>
        <v>142440.58357142858</v>
      </c>
      <c r="R13" s="468">
        <f>IF(OR(Tax!$B$8&lt;=0,Tax!$B$9&lt;=0),Tax!$B$13,(Tax!$B$8+(R8-Tax!$B$8)*Tax!$B$19)*Tax!$B$9/1000+Tax!$B$10)</f>
        <v>139724.94340909092</v>
      </c>
      <c r="S13" s="468">
        <f>IF(OR(Tax!$B$8&lt;=0,Tax!$B$9&lt;=0),Tax!$B$13,(Tax!$B$8+(S8-Tax!$B$8)*Tax!$B$19)*Tax!$B$9/1000+Tax!$B$10)</f>
        <v>137245.4458695652</v>
      </c>
      <c r="T13" s="468">
        <f>IF(OR(Tax!$B$8&lt;=0,Tax!$B$9&lt;=0),Tax!$B$13,(Tax!$B$8+(T8-Tax!$B$8)*Tax!$B$19)*Tax!$B$9/1000+Tax!$B$10)</f>
        <v>134972.573125</v>
      </c>
    </row>
    <row r="14">
      <c r="A14" s="39" t="inlineStr">
        <is>
          <t>NOI Year 1 (tax-adjusted)</t>
        </is>
      </c>
      <c r="B14" s="468">
        <f>'Pro Forma'!$D$30+Tax!$B$22-B$13</f>
        <v>376910.0857083334</v>
      </c>
      <c r="C14" s="468">
        <f>'Pro Forma'!$D$30+Tax!$B$22-C$13</f>
        <v>406782.12749404775</v>
      </c>
      <c r="D14" s="468">
        <f>'Pro Forma'!$D$30+Tax!$B$22-D$13</f>
        <v>429186.1588333334</v>
      </c>
      <c r="E14" s="468">
        <f>'Pro Forma'!$D$30+Tax!$B$22-E$13</f>
        <v>446611.5165416667</v>
      </c>
      <c r="F14" s="468">
        <f>'Pro Forma'!$D$30+Tax!$B$22-F$13</f>
        <v>460551.80270833336</v>
      </c>
      <c r="G14" s="468">
        <f>'Pro Forma'!$D$30+Tax!$B$22-G$13</f>
        <v>471957.49139015155</v>
      </c>
      <c r="H14" s="468">
        <f>'Pro Forma'!$D$30+Tax!$B$22-H$13</f>
        <v>481462.2319583334</v>
      </c>
      <c r="I14" s="468">
        <f>'Pro Forma'!$D$30+Tax!$B$22-I$13</f>
        <v>489504.70474679495</v>
      </c>
      <c r="J14" s="468">
        <f>'Pro Forma'!$D$30+Tax!$B$22-J$13</f>
        <v>496398.25285119057</v>
      </c>
      <c r="K14" s="468">
        <f>'Pro Forma'!$D$30+Tax!$B$22-K$13</f>
        <v>502372.6612083334</v>
      </c>
      <c r="L14" s="468">
        <f>'Pro Forma'!$D$30+Tax!$B$22-L$13</f>
        <v>507600.2685208334</v>
      </c>
      <c r="M14" s="468">
        <f>'Pro Forma'!$D$30+Tax!$B$22-M$13</f>
        <v>512212.86320833344</v>
      </c>
      <c r="N14" s="468">
        <f>'Pro Forma'!$D$30+Tax!$B$22-N$13</f>
        <v>516312.9473750001</v>
      </c>
      <c r="O14" s="468">
        <f>'Pro Forma'!$D$30+Tax!$B$22-O$13</f>
        <v>519981.44373464916</v>
      </c>
      <c r="P14" s="468">
        <f>'Pro Forma'!$D$30+Tax!$B$22-P$13</f>
        <v>523283.0904583334</v>
      </c>
      <c r="Q14" s="468">
        <f>'Pro Forma'!$D$30+Tax!$B$22-Q$13</f>
        <v>526270.2946369048</v>
      </c>
      <c r="R14" s="468">
        <f>'Pro Forma'!$D$30+Tax!$B$22-R$13</f>
        <v>528985.9347992425</v>
      </c>
      <c r="S14" s="468">
        <f>'Pro Forma'!$D$30+Tax!$B$22-S$13</f>
        <v>531465.4323387682</v>
      </c>
      <c r="T14" s="468">
        <f>'Pro Forma'!$D$30+Tax!$B$22-T$13</f>
        <v>533738.3050833334</v>
      </c>
    </row>
    <row r="15">
      <c r="A15" s="39" t="inlineStr">
        <is>
          <t>NOI Year 2 (tax-adjusted)</t>
        </is>
      </c>
      <c r="B15" s="468">
        <f>'Pro Forma'!$E$30+Tax!$C$22-B$13*(1+Inputs!$B$23)^1</f>
        <v>583083.9387333331</v>
      </c>
      <c r="C15" s="468">
        <f>'Pro Forma'!$E$30+Tax!$C$22-C$13*(1+Inputs!$B$23)^1</f>
        <v>613852.1417726189</v>
      </c>
      <c r="D15" s="468">
        <f>'Pro Forma'!$E$30+Tax!$C$22-D$13*(1+Inputs!$B$23)^1</f>
        <v>636928.2940520832</v>
      </c>
      <c r="E15" s="468">
        <f>'Pro Forma'!$E$30+Tax!$C$22-E$13*(1+Inputs!$B$23)^1</f>
        <v>654876.4124916665</v>
      </c>
      <c r="F15" s="468">
        <f>'Pro Forma'!$E$30+Tax!$C$22-F$13*(1+Inputs!$B$23)^1</f>
        <v>669234.9072433331</v>
      </c>
      <c r="G15" s="468">
        <f>'Pro Forma'!$E$30+Tax!$C$22-G$13*(1+Inputs!$B$23)^1</f>
        <v>680982.7665856059</v>
      </c>
      <c r="H15" s="468">
        <f>'Pro Forma'!$E$30+Tax!$C$22-H$13*(1+Inputs!$B$23)^1</f>
        <v>690772.6493708331</v>
      </c>
      <c r="I15" s="468">
        <f>'Pro Forma'!$E$30+Tax!$C$22-I$13*(1+Inputs!$B$23)^1</f>
        <v>699056.3963429485</v>
      </c>
      <c r="J15" s="468">
        <f>'Pro Forma'!$E$30+Tax!$C$22-J$13*(1+Inputs!$B$23)^1</f>
        <v>706156.750890476</v>
      </c>
      <c r="K15" s="468">
        <f>'Pro Forma'!$E$30+Tax!$C$22-K$13*(1+Inputs!$B$23)^1</f>
        <v>712310.3914983331</v>
      </c>
      <c r="L15" s="468">
        <f>'Pro Forma'!$E$30+Tax!$C$22-L$13*(1+Inputs!$B$23)^1</f>
        <v>717694.8270302082</v>
      </c>
      <c r="M15" s="468">
        <f>'Pro Forma'!$E$30+Tax!$C$22-M$13*(1+Inputs!$B$23)^1</f>
        <v>722445.7995583331</v>
      </c>
      <c r="N15" s="468">
        <f>'Pro Forma'!$E$30+Tax!$C$22-N$13*(1+Inputs!$B$23)^1</f>
        <v>726668.8862499997</v>
      </c>
      <c r="O15" s="468">
        <f>'Pro Forma'!$E$30+Tax!$C$22-O$13*(1+Inputs!$B$23)^1</f>
        <v>730447.4375004384</v>
      </c>
      <c r="P15" s="468">
        <f>'Pro Forma'!$E$30+Tax!$C$22-P$13*(1+Inputs!$B$23)^1</f>
        <v>733848.1336258331</v>
      </c>
      <c r="Q15" s="468">
        <f>'Pro Forma'!$E$30+Tax!$C$22-Q$13*(1+Inputs!$B$23)^1</f>
        <v>736924.9539297617</v>
      </c>
      <c r="R15" s="468">
        <f>'Pro Forma'!$E$30+Tax!$C$22-R$13*(1+Inputs!$B$23)^1</f>
        <v>739722.0632969695</v>
      </c>
      <c r="S15" s="468">
        <f>'Pro Forma'!$E$30+Tax!$C$22-S$13*(1+Inputs!$B$23)^1</f>
        <v>742275.945762681</v>
      </c>
      <c r="T15" s="468">
        <f>'Pro Forma'!$E$30+Tax!$C$22-T$13*(1+Inputs!$B$23)^1</f>
        <v>744617.0046895831</v>
      </c>
    </row>
    <row r="16">
      <c r="A16" s="39" t="inlineStr">
        <is>
          <t>NOI Year 3 (tax-adjusted)</t>
        </is>
      </c>
      <c r="B16" s="468">
        <f>'Pro Forma'!$F$30+Tax!$D$22-B$13*(1+Inputs!$B$23)^2</f>
        <v>612803.3391990836</v>
      </c>
      <c r="C16" s="468">
        <f>'Pro Forma'!$F$30+Tax!$D$22-C$13*(1+Inputs!$B$23)^2</f>
        <v>644494.588329548</v>
      </c>
      <c r="D16" s="468">
        <f>'Pro Forma'!$F$30+Tax!$D$22-D$13*(1+Inputs!$B$23)^2</f>
        <v>668263.0251773961</v>
      </c>
      <c r="E16" s="468">
        <f>'Pro Forma'!$F$30+Tax!$D$22-E$13*(1+Inputs!$B$23)^2</f>
        <v>686749.587170167</v>
      </c>
      <c r="F16" s="468">
        <f>'Pro Forma'!$F$30+Tax!$D$22-F$13*(1+Inputs!$B$23)^2</f>
        <v>701538.8367643836</v>
      </c>
      <c r="G16" s="468">
        <f>'Pro Forma'!$F$30+Tax!$D$22-G$13*(1+Inputs!$B$23)^2</f>
        <v>713639.1318869246</v>
      </c>
      <c r="H16" s="468">
        <f>'Pro Forma'!$F$30+Tax!$D$22-H$13*(1+Inputs!$B$23)^2</f>
        <v>723722.7111557086</v>
      </c>
      <c r="I16" s="468">
        <f>'Pro Forma'!$F$30+Tax!$D$22-I$13*(1+Inputs!$B$23)^2</f>
        <v>732254.9705369875</v>
      </c>
      <c r="J16" s="468">
        <f>'Pro Forma'!$F$30+Tax!$D$22-J$13*(1+Inputs!$B$23)^2</f>
        <v>739568.3357209408</v>
      </c>
      <c r="K16" s="468">
        <f>'Pro Forma'!$F$30+Tax!$D$22-K$13*(1+Inputs!$B$23)^2</f>
        <v>745906.5855470337</v>
      </c>
      <c r="L16" s="468">
        <f>'Pro Forma'!$F$30+Tax!$D$22-L$13*(1+Inputs!$B$23)^2</f>
        <v>751452.5541448649</v>
      </c>
      <c r="M16" s="468">
        <f>'Pro Forma'!$F$30+Tax!$D$22-M$13*(1+Inputs!$B$23)^2</f>
        <v>756346.0558488336</v>
      </c>
      <c r="N16" s="468">
        <f>'Pro Forma'!$F$30+Tax!$D$22-N$13*(1+Inputs!$B$23)^2</f>
        <v>760695.8351412504</v>
      </c>
      <c r="O16" s="468">
        <f>'Pro Forma'!$F$30+Tax!$D$22-O$13*(1+Inputs!$B$23)^2</f>
        <v>764587.742929202</v>
      </c>
      <c r="P16" s="468">
        <f>'Pro Forma'!$F$30+Tax!$D$22-P$13*(1+Inputs!$B$23)^2</f>
        <v>768090.4599383586</v>
      </c>
      <c r="Q16" s="468">
        <f>'Pro Forma'!$F$30+Tax!$D$22-Q$13*(1+Inputs!$B$23)^2</f>
        <v>771259.5848514051</v>
      </c>
      <c r="R16" s="468">
        <f>'Pro Forma'!$F$30+Tax!$D$22-R$13*(1+Inputs!$B$23)^2</f>
        <v>774140.607499629</v>
      </c>
      <c r="S16" s="468">
        <f>'Pro Forma'!$F$30+Tax!$D$22-S$13*(1+Inputs!$B$23)^2</f>
        <v>776771.1064393119</v>
      </c>
      <c r="T16" s="468">
        <f>'Pro Forma'!$F$30+Tax!$D$22-T$13*(1+Inputs!$B$23)^2</f>
        <v>779182.3971340212</v>
      </c>
    </row>
    <row r="17">
      <c r="A17" s="39" t="inlineStr">
        <is>
          <t>NOI Year 4 (tax-adjusted)</t>
        </is>
      </c>
      <c r="B17" s="468">
        <f>'Pro Forma'!$G$30+Tax!$E$22-B$13*(1+Inputs!$B$23)^3</f>
        <v>631187.4382350561</v>
      </c>
      <c r="C17" s="468">
        <f>'Pro Forma'!$G$30+Tax!$E$22-C$13*(1+Inputs!$B$23)^3</f>
        <v>663829.4248394343</v>
      </c>
      <c r="D17" s="468">
        <f>'Pro Forma'!$G$30+Tax!$E$22-D$13*(1+Inputs!$B$23)^3</f>
        <v>688310.914792718</v>
      </c>
      <c r="E17" s="468">
        <f>'Pro Forma'!$G$30+Tax!$E$22-E$13*(1+Inputs!$B$23)^3</f>
        <v>707352.073645272</v>
      </c>
      <c r="F17" s="468">
        <f>'Pro Forma'!$G$30+Tax!$E$22-F$13*(1+Inputs!$B$23)^3</f>
        <v>722585.0007273151</v>
      </c>
      <c r="G17" s="468">
        <f>'Pro Forma'!$G$30+Tax!$E$22-G$13*(1+Inputs!$B$23)^3</f>
        <v>735048.3047035323</v>
      </c>
      <c r="H17" s="468">
        <f>'Pro Forma'!$G$30+Tax!$E$22-H$13*(1+Inputs!$B$23)^3</f>
        <v>745434.3913503799</v>
      </c>
      <c r="I17" s="468">
        <f>'Pro Forma'!$G$30+Tax!$E$22-I$13*(1+Inputs!$B$23)^3</f>
        <v>754222.618513097</v>
      </c>
      <c r="J17" s="468">
        <f>'Pro Forma'!$G$30+Tax!$E$22-J$13*(1+Inputs!$B$23)^3</f>
        <v>761755.384652569</v>
      </c>
      <c r="K17" s="468">
        <f>'Pro Forma'!$G$30+Tax!$E$22-K$13*(1+Inputs!$B$23)^3</f>
        <v>768283.7819734446</v>
      </c>
      <c r="L17" s="468">
        <f>'Pro Forma'!$G$30+Tax!$E$22-L$13*(1+Inputs!$B$23)^3</f>
        <v>773996.1296292108</v>
      </c>
      <c r="M17" s="468">
        <f>'Pro Forma'!$G$30+Tax!$E$22-M$13*(1+Inputs!$B$23)^3</f>
        <v>779036.4363842986</v>
      </c>
      <c r="N17" s="468">
        <f>'Pro Forma'!$G$30+Tax!$E$22-N$13*(1+Inputs!$B$23)^3</f>
        <v>783516.7090554878</v>
      </c>
      <c r="O17" s="468">
        <f>'Pro Forma'!$G$30+Tax!$E$22-O$13*(1+Inputs!$B$23)^3</f>
        <v>787525.3740770781</v>
      </c>
      <c r="P17" s="468">
        <f>'Pro Forma'!$G$30+Tax!$E$22-P$13*(1+Inputs!$B$23)^3</f>
        <v>791133.1725965093</v>
      </c>
      <c r="Q17" s="468">
        <f>'Pro Forma'!$G$30+Tax!$E$22-Q$13*(1+Inputs!$B$23)^3</f>
        <v>794397.3712569472</v>
      </c>
      <c r="R17" s="468">
        <f>'Pro Forma'!$G$30+Tax!$E$22-R$13*(1+Inputs!$B$23)^3</f>
        <v>797364.8245846179</v>
      </c>
      <c r="S17" s="468">
        <f>'Pro Forma'!$G$30+Tax!$E$22-S$13*(1+Inputs!$B$23)^3</f>
        <v>800074.2384924912</v>
      </c>
      <c r="T17" s="468">
        <f>'Pro Forma'!$G$30+Tax!$E$22-T$13*(1+Inputs!$B$23)^3</f>
        <v>802557.8679080417</v>
      </c>
    </row>
    <row r="18">
      <c r="A18" s="39" t="inlineStr">
        <is>
          <t>NOI Year 5 (tax-adjusted)</t>
        </is>
      </c>
      <c r="B18" s="468">
        <f>'Pro Forma'!$H$30+Tax!$F$22-B$13*(1+Inputs!$B$23)^4</f>
        <v>650123.0602421074</v>
      </c>
      <c r="C18" s="468">
        <f>'Pro Forma'!$H$30+Tax!$F$22-C$13*(1+Inputs!$B$23)^4</f>
        <v>683744.306444617</v>
      </c>
      <c r="D18" s="468">
        <f>'Pro Forma'!$H$30+Tax!$F$22-D$13*(1+Inputs!$B$23)^4</f>
        <v>708960.2410964991</v>
      </c>
      <c r="E18" s="468">
        <f>'Pro Forma'!$H$30+Tax!$F$22-E$13*(1+Inputs!$B$23)^4</f>
        <v>728572.6347146297</v>
      </c>
      <c r="F18" s="468">
        <f>'Pro Forma'!$H$30+Tax!$F$22-F$13*(1+Inputs!$B$23)^4</f>
        <v>744262.5496091342</v>
      </c>
      <c r="G18" s="468">
        <f>'Pro Forma'!$H$30+Tax!$F$22-G$13*(1+Inputs!$B$23)^4</f>
        <v>757099.7527046378</v>
      </c>
      <c r="H18" s="468">
        <f>'Pro Forma'!$H$30+Tax!$F$22-H$13*(1+Inputs!$B$23)^4</f>
        <v>767797.4219508909</v>
      </c>
      <c r="I18" s="468">
        <f>'Pro Forma'!$H$30+Tax!$F$22-I$13*(1+Inputs!$B$23)^4</f>
        <v>776849.2959284896</v>
      </c>
      <c r="J18" s="468">
        <f>'Pro Forma'!$H$30+Tax!$F$22-J$13*(1+Inputs!$B$23)^4</f>
        <v>784608.0450521457</v>
      </c>
      <c r="K18" s="468">
        <f>'Pro Forma'!$H$30+Tax!$F$22-K$13*(1+Inputs!$B$23)^4</f>
        <v>791332.2942926476</v>
      </c>
      <c r="L18" s="468">
        <f>'Pro Forma'!$H$30+Tax!$F$22-L$13*(1+Inputs!$B$23)^4</f>
        <v>797216.0123780868</v>
      </c>
      <c r="M18" s="468">
        <f>'Pro Forma'!$H$30+Tax!$F$22-M$13*(1+Inputs!$B$23)^4</f>
        <v>802407.5283358273</v>
      </c>
      <c r="N18" s="468">
        <f>'Pro Forma'!$H$30+Tax!$F$22-N$13*(1+Inputs!$B$23)^4</f>
        <v>807022.2091871521</v>
      </c>
      <c r="O18" s="468">
        <f>'Pro Forma'!$H$30+Tax!$F$22-O$13*(1+Inputs!$B$23)^4</f>
        <v>811151.1341593901</v>
      </c>
      <c r="P18" s="468">
        <f>'Pro Forma'!$H$30+Tax!$F$22-P$13*(1+Inputs!$B$23)^4</f>
        <v>814867.1666344043</v>
      </c>
      <c r="Q18" s="468">
        <f>'Pro Forma'!$H$30+Tax!$F$22-Q$13*(1+Inputs!$B$23)^4</f>
        <v>818229.2912546552</v>
      </c>
      <c r="R18" s="468">
        <f>'Pro Forma'!$H$30+Tax!$F$22-R$13*(1+Inputs!$B$23)^4</f>
        <v>821285.7681821561</v>
      </c>
      <c r="S18" s="468">
        <f>'Pro Forma'!$H$30+Tax!$F$22-S$13*(1+Inputs!$B$23)^4</f>
        <v>824076.4645072656</v>
      </c>
      <c r="T18" s="468">
        <f>'Pro Forma'!$H$30+Tax!$F$22-T$13*(1+Inputs!$B$23)^4</f>
        <v>826634.6028052827</v>
      </c>
    </row>
    <row r="19">
      <c r="A19" s="39" t="inlineStr">
        <is>
          <t>NOI Year 6 (tax-adjusted)</t>
        </is>
      </c>
      <c r="B19" s="468">
        <f>'Pro Forma'!$I$30+Tax!$G$22-B$13*(1+Inputs!$B$23)^5</f>
        <v>669626.7509093711</v>
      </c>
      <c r="C19" s="468">
        <f>'Pro Forma'!$I$30+Tax!$G$22-C$13*(1+Inputs!$B$23)^5</f>
        <v>704256.6344979559</v>
      </c>
      <c r="D19" s="468">
        <f>'Pro Forma'!$I$30+Tax!$G$22-D$13*(1+Inputs!$B$23)^5</f>
        <v>730229.0471893945</v>
      </c>
      <c r="E19" s="468">
        <f>'Pro Forma'!$I$30+Tax!$G$22-E$13*(1+Inputs!$B$23)^5</f>
        <v>750429.812616069</v>
      </c>
      <c r="F19" s="468">
        <f>'Pro Forma'!$I$30+Tax!$G$22-F$13*(1+Inputs!$B$23)^5</f>
        <v>766590.4249574086</v>
      </c>
      <c r="G19" s="468">
        <f>'Pro Forma'!$I$30+Tax!$G$22-G$13*(1+Inputs!$B$23)^5</f>
        <v>779812.7441457773</v>
      </c>
      <c r="H19" s="468">
        <f>'Pro Forma'!$I$30+Tax!$G$22-H$13*(1+Inputs!$B$23)^5</f>
        <v>790831.343469418</v>
      </c>
      <c r="I19" s="468">
        <f>'Pro Forma'!$I$30+Tax!$G$22-I$13*(1+Inputs!$B$23)^5</f>
        <v>800154.7736663447</v>
      </c>
      <c r="J19" s="468">
        <f>'Pro Forma'!$I$30+Tax!$G$22-J$13*(1+Inputs!$B$23)^5</f>
        <v>808146.2852637104</v>
      </c>
      <c r="K19" s="468">
        <f>'Pro Forma'!$I$30+Tax!$G$22-K$13*(1+Inputs!$B$23)^5</f>
        <v>815072.2619814274</v>
      </c>
      <c r="L19" s="468">
        <f>'Pro Forma'!$I$30+Tax!$G$22-L$13*(1+Inputs!$B$23)^5</f>
        <v>821132.4916094297</v>
      </c>
      <c r="M19" s="468">
        <f>'Pro Forma'!$I$30+Tax!$G$22-M$13*(1+Inputs!$B$23)^5</f>
        <v>826479.7530459025</v>
      </c>
      <c r="N19" s="468">
        <f>'Pro Forma'!$I$30+Tax!$G$22-N$13*(1+Inputs!$B$23)^5</f>
        <v>831232.874322767</v>
      </c>
      <c r="O19" s="468">
        <f>'Pro Forma'!$I$30+Tax!$G$22-O$13*(1+Inputs!$B$23)^5</f>
        <v>835485.6670441721</v>
      </c>
      <c r="P19" s="468">
        <f>'Pro Forma'!$I$30+Tax!$G$22-P$13*(1+Inputs!$B$23)^5</f>
        <v>839313.1804934368</v>
      </c>
      <c r="Q19" s="468">
        <f>'Pro Forma'!$I$30+Tax!$G$22-Q$13*(1+Inputs!$B$23)^5</f>
        <v>842776.1688522953</v>
      </c>
      <c r="R19" s="468">
        <f>'Pro Forma'!$I$30+Tax!$G$22-R$13*(1+Inputs!$B$23)^5</f>
        <v>845924.3400876211</v>
      </c>
      <c r="S19" s="468">
        <f>'Pro Forma'!$I$30+Tax!$G$22-S$13*(1+Inputs!$B$23)^5</f>
        <v>848798.7573024839</v>
      </c>
      <c r="T19" s="468">
        <f>'Pro Forma'!$I$30+Tax!$G$22-T$13*(1+Inputs!$B$23)^5</f>
        <v>851433.6397494415</v>
      </c>
    </row>
    <row r="20">
      <c r="A20" s="39" t="inlineStr">
        <is>
          <t>NOI Year 7 (tax-adjusted)</t>
        </is>
      </c>
      <c r="B20" s="468">
        <f>'Pro Forma'!$J$30+Tax!$H$22-B$13*(1+Inputs!$B$23)^6</f>
        <v>689715.552296652</v>
      </c>
      <c r="C20" s="468">
        <f>'Pro Forma'!$J$30+Tax!$H$22-C$13*(1+Inputs!$B$23)^6</f>
        <v>725384.3323928944</v>
      </c>
      <c r="D20" s="468">
        <f>'Pro Forma'!$J$30+Tax!$H$22-D$13*(1+Inputs!$B$23)^6</f>
        <v>752135.9174650763</v>
      </c>
      <c r="E20" s="468">
        <f>'Pro Forma'!$J$30+Tax!$H$22-E$13*(1+Inputs!$B$23)^6</f>
        <v>772942.7058545509</v>
      </c>
      <c r="F20" s="468">
        <f>'Pro Forma'!$J$30+Tax!$H$22-F$13*(1+Inputs!$B$23)^6</f>
        <v>789588.1365661308</v>
      </c>
      <c r="G20" s="468">
        <f>'Pro Forma'!$J$30+Tax!$H$22-G$13*(1+Inputs!$B$23)^6</f>
        <v>803207.1253301506</v>
      </c>
      <c r="H20" s="468">
        <f>'Pro Forma'!$J$30+Tax!$H$22-H$13*(1+Inputs!$B$23)^6</f>
        <v>814556.2826335004</v>
      </c>
      <c r="I20" s="468">
        <f>'Pro Forma'!$J$30+Tax!$H$22-I$13*(1+Inputs!$B$23)^6</f>
        <v>824159.415736335</v>
      </c>
      <c r="J20" s="468">
        <f>'Pro Forma'!$J$30+Tax!$H$22-J$13*(1+Inputs!$B$23)^6</f>
        <v>832390.6726816217</v>
      </c>
      <c r="K20" s="468">
        <f>'Pro Forma'!$J$30+Tax!$H$22-K$13*(1+Inputs!$B$23)^6</f>
        <v>839524.4287008701</v>
      </c>
      <c r="L20" s="468">
        <f>'Pro Forma'!$J$30+Tax!$H$22-L$13*(1+Inputs!$B$23)^6</f>
        <v>845766.4652177126</v>
      </c>
      <c r="M20" s="468">
        <f>'Pro Forma'!$J$30+Tax!$H$22-M$13*(1+Inputs!$B$23)^6</f>
        <v>851274.1444972794</v>
      </c>
      <c r="N20" s="468">
        <f>'Pro Forma'!$J$30+Tax!$H$22-N$13*(1+Inputs!$B$23)^6</f>
        <v>856169.8594124499</v>
      </c>
      <c r="O20" s="468">
        <f>'Pro Forma'!$J$30+Tax!$H$22-O$13*(1+Inputs!$B$23)^6</f>
        <v>860550.2359154972</v>
      </c>
      <c r="P20" s="468">
        <f>'Pro Forma'!$J$30+Tax!$H$22-P$13*(1+Inputs!$B$23)^6</f>
        <v>864492.5747682399</v>
      </c>
      <c r="Q20" s="468">
        <f>'Pro Forma'!$J$30+Tax!$H$22-Q$13*(1+Inputs!$B$23)^6</f>
        <v>868059.4527778641</v>
      </c>
      <c r="R20" s="468">
        <f>'Pro Forma'!$J$30+Tax!$H$22-R$13*(1+Inputs!$B$23)^6</f>
        <v>871302.0691502497</v>
      </c>
      <c r="S20" s="468">
        <f>'Pro Forma'!$J$30+Tax!$H$22-S$13*(1+Inputs!$B$23)^6</f>
        <v>874262.7188815584</v>
      </c>
      <c r="T20" s="468">
        <f>'Pro Forma'!$J$30+Tax!$H$22-T$13*(1+Inputs!$B$23)^6</f>
        <v>876976.6478019246</v>
      </c>
    </row>
    <row r="21">
      <c r="A21" s="39" t="inlineStr">
        <is>
          <t>NOI Year 8 (tax-adjusted)</t>
        </is>
      </c>
      <c r="B21" s="468">
        <f>'Pro Forma'!$K$30+Tax!$I$22-B$13*(1+Inputs!$B$23)^7</f>
        <v>710407.0177255517</v>
      </c>
      <c r="C21" s="468">
        <f>'Pro Forma'!$K$30+Tax!$I$22-C$13*(1+Inputs!$B$23)^7</f>
        <v>747145.8612246814</v>
      </c>
      <c r="D21" s="468">
        <f>'Pro Forma'!$K$30+Tax!$I$22-D$13*(1+Inputs!$B$23)^7</f>
        <v>774699.9938490286</v>
      </c>
      <c r="E21" s="468">
        <f>'Pro Forma'!$K$30+Tax!$I$22-E$13*(1+Inputs!$B$23)^7</f>
        <v>796130.9858901876</v>
      </c>
      <c r="F21" s="468">
        <f>'Pro Forma'!$K$30+Tax!$I$22-F$13*(1+Inputs!$B$23)^7</f>
        <v>813275.7795231147</v>
      </c>
      <c r="G21" s="468">
        <f>'Pro Forma'!$K$30+Tax!$I$22-G$13*(1+Inputs!$B$23)^7</f>
        <v>827303.3379500551</v>
      </c>
      <c r="H21" s="468">
        <f>'Pro Forma'!$K$30+Tax!$I$22-H$13*(1+Inputs!$B$23)^7</f>
        <v>838992.9699725055</v>
      </c>
      <c r="I21" s="468">
        <f>'Pro Forma'!$K$30+Tax!$I$22-I$13*(1+Inputs!$B$23)^7</f>
        <v>848884.197068425</v>
      </c>
      <c r="J21" s="468">
        <f>'Pro Forma'!$K$30+Tax!$I$22-J$13*(1+Inputs!$B$23)^7</f>
        <v>857362.3917220704</v>
      </c>
      <c r="K21" s="468">
        <f>'Pro Forma'!$K$30+Tax!$I$22-K$13*(1+Inputs!$B$23)^7</f>
        <v>864710.1604218963</v>
      </c>
      <c r="L21" s="468">
        <f>'Pro Forma'!$K$30+Tax!$I$22-L$13*(1+Inputs!$B$23)^7</f>
        <v>871139.4580342439</v>
      </c>
      <c r="M21" s="468">
        <f>'Pro Forma'!$K$30+Tax!$I$22-M$13*(1+Inputs!$B$23)^7</f>
        <v>876812.3676921979</v>
      </c>
      <c r="N21" s="468">
        <f>'Pro Forma'!$K$30+Tax!$I$22-N$13*(1+Inputs!$B$23)^7</f>
        <v>881854.9540548235</v>
      </c>
      <c r="O21" s="468">
        <f>'Pro Forma'!$K$30+Tax!$I$22-O$13*(1+Inputs!$B$23)^7</f>
        <v>886366.7418529622</v>
      </c>
      <c r="P21" s="468">
        <f>'Pro Forma'!$K$30+Tax!$I$22-P$13*(1+Inputs!$B$23)^7</f>
        <v>890427.350871287</v>
      </c>
      <c r="Q21" s="468">
        <f>'Pro Forma'!$K$30+Tax!$I$22-Q$13*(1+Inputs!$B$23)^7</f>
        <v>894101.2352211999</v>
      </c>
      <c r="R21" s="468">
        <f>'Pro Forma'!$K$30+Tax!$I$22-R$13*(1+Inputs!$B$23)^7</f>
        <v>897441.1300847572</v>
      </c>
      <c r="S21" s="468">
        <f>'Pro Forma'!$K$30+Tax!$I$22-S$13*(1+Inputs!$B$23)^7</f>
        <v>900490.5993080052</v>
      </c>
      <c r="T21" s="468">
        <f>'Pro Forma'!$K$30+Tax!$I$22-T$13*(1+Inputs!$B$23)^7</f>
        <v>903285.9460959825</v>
      </c>
    </row>
    <row r="22">
      <c r="A22" s="39" t="inlineStr">
        <is>
          <t>Gross Exit Value (hold-period NOI / exit cap)</t>
        </is>
      </c>
      <c r="B22" s="468">
        <f>INDEX(B$14:B$21,Inputs!$B$17)/Inputs!$B$18</f>
        <v>10835384.337368457</v>
      </c>
      <c r="C22" s="468">
        <f>INDEX(C$14:C$21,Inputs!$B$17)/Inputs!$B$18</f>
        <v>11395738.440743618</v>
      </c>
      <c r="D22" s="468">
        <f>INDEX(D$14:D$21,Inputs!$B$17)/Inputs!$B$18</f>
        <v>11816004.018274985</v>
      </c>
      <c r="E22" s="468">
        <f>INDEX(E$14:E$21,Inputs!$B$17)/Inputs!$B$18</f>
        <v>12142877.245243829</v>
      </c>
      <c r="F22" s="468">
        <f>INDEX(F$14:F$21,Inputs!$B$17)/Inputs!$B$18</f>
        <v>12404375.826818904</v>
      </c>
      <c r="G22" s="468">
        <f>INDEX(G$14:G$21,Inputs!$B$17)/Inputs!$B$18</f>
        <v>12618329.211743964</v>
      </c>
      <c r="H22" s="468">
        <f>INDEX(H$14:H$21,Inputs!$B$17)/Inputs!$B$18</f>
        <v>12796623.699181516</v>
      </c>
      <c r="I22" s="468">
        <f>INDEX(I$14:I$21,Inputs!$B$17)/Inputs!$B$18</f>
        <v>12947488.265474828</v>
      </c>
      <c r="J22" s="468">
        <f>INDEX(J$14:J$21,Inputs!$B$17)/Inputs!$B$18</f>
        <v>13076800.750869095</v>
      </c>
      <c r="K22" s="468">
        <f>INDEX(K$14:K$21,Inputs!$B$17)/Inputs!$B$18</f>
        <v>13188871.571544128</v>
      </c>
      <c r="L22" s="468">
        <f>INDEX(L$14:L$21,Inputs!$B$17)/Inputs!$B$18</f>
        <v>13286933.539634781</v>
      </c>
      <c r="M22" s="468">
        <f>INDEX(M$14:M$21,Inputs!$B$17)/Inputs!$B$18</f>
        <v>13373458.805597123</v>
      </c>
      <c r="N22" s="468">
        <f>INDEX(N$14:N$21,Inputs!$B$17)/Inputs!$B$18</f>
        <v>13450370.153119203</v>
      </c>
      <c r="O22" s="468">
        <f>INDEX(O$14:O$21,Inputs!$B$17)/Inputs!$B$18</f>
        <v>13519185.569323169</v>
      </c>
      <c r="P22" s="468">
        <f>INDEX(P$14:P$21,Inputs!$B$17)/Inputs!$B$18</f>
        <v>13581119.44390674</v>
      </c>
      <c r="Q22" s="468">
        <f>INDEX(Q$14:Q$21,Inputs!$B$17)/Inputs!$B$18</f>
        <v>13637154.854244255</v>
      </c>
      <c r="R22" s="468">
        <f>INDEX(R$14:R$21,Inputs!$B$17)/Inputs!$B$18</f>
        <v>13688096.13636927</v>
      </c>
      <c r="S22" s="468">
        <f>INDEX(S$14:S$21,Inputs!$B$17)/Inputs!$B$18</f>
        <v>13734607.74178776</v>
      </c>
      <c r="T22" s="468">
        <f>INDEX(T$14:T$21,Inputs!$B$17)/Inputs!$B$18</f>
        <v>13777243.380088046</v>
      </c>
    </row>
    <row r="23">
      <c r="A23" s="39" t="inlineStr">
        <is>
          <t>Loan Payoff at Exit</t>
        </is>
      </c>
      <c r="B23" s="468">
        <f>IF(Inputs!$B$16=0,B$10-B$12*Inputs!$B$17,B$10*(1+Inputs!$B$16)^Inputs!$B$17-B$12*((1+Inputs!$B$16)^Inputs!$B$17-1)/Inputs!$B$16)</f>
        <v>12213016.666666666</v>
      </c>
      <c r="C23" s="468">
        <f>IF(Inputs!$B$16=0,C$10-C$12*Inputs!$B$17,C$10*(1+Inputs!$B$16)^Inputs!$B$17-C$12*((1+Inputs!$B$16)^Inputs!$B$17-1)/Inputs!$B$16)</f>
        <v>10468299.999999998</v>
      </c>
      <c r="D23" s="468">
        <f>IF(Inputs!$B$16=0,D$10-D$12*Inputs!$B$17,D$10*(1+Inputs!$B$16)^Inputs!$B$17-D$12*((1+Inputs!$B$16)^Inputs!$B$17-1)/Inputs!$B$16)</f>
        <v>9159762.5</v>
      </c>
      <c r="E23" s="468">
        <f>IF(Inputs!$B$16=0,E$10-E$12*Inputs!$B$17,E$10*(1+Inputs!$B$16)^Inputs!$B$17-E$12*((1+Inputs!$B$16)^Inputs!$B$17-1)/Inputs!$B$16)</f>
        <v>8142011.111111109</v>
      </c>
      <c r="F23" s="468">
        <f>IF(Inputs!$B$16=0,F$10-F$12*Inputs!$B$17,F$10*(1+Inputs!$B$16)^Inputs!$B$17-F$12*((1+Inputs!$B$16)^Inputs!$B$17-1)/Inputs!$B$16)</f>
        <v>7327810</v>
      </c>
      <c r="G23" s="468">
        <f>IF(Inputs!$B$16=0,G$10-G$12*Inputs!$B$17,G$10*(1+Inputs!$B$16)^Inputs!$B$17-G$12*((1+Inputs!$B$16)^Inputs!$B$17-1)/Inputs!$B$16)</f>
        <v>6661645.454545453</v>
      </c>
      <c r="H23" s="468">
        <f>IF(Inputs!$B$16=0,H$10-H$12*Inputs!$B$17,H$10*(1+Inputs!$B$16)^Inputs!$B$17-H$12*((1+Inputs!$B$16)^Inputs!$B$17-1)/Inputs!$B$16)</f>
        <v>6106508.333333333</v>
      </c>
      <c r="I23" s="468">
        <f>IF(Inputs!$B$16=0,I$10-I$12*Inputs!$B$17,I$10*(1+Inputs!$B$16)^Inputs!$B$17-I$12*((1+Inputs!$B$16)^Inputs!$B$17-1)/Inputs!$B$16)</f>
        <v>5636776.923076922</v>
      </c>
      <c r="J23" s="468">
        <f>IF(Inputs!$B$16=0,J$10-J$12*Inputs!$B$17,J$10*(1+Inputs!$B$16)^Inputs!$B$17-J$12*((1+Inputs!$B$16)^Inputs!$B$17-1)/Inputs!$B$16)</f>
        <v>5234149.999999999</v>
      </c>
      <c r="K23" s="468">
        <f>IF(Inputs!$B$16=0,K$10-K$12*Inputs!$B$17,K$10*(1+Inputs!$B$16)^Inputs!$B$17-K$12*((1+Inputs!$B$16)^Inputs!$B$17-1)/Inputs!$B$16)</f>
        <v>4885206.666666666</v>
      </c>
      <c r="L23" s="468">
        <f>IF(Inputs!$B$16=0,L$10-L$12*Inputs!$B$17,L$10*(1+Inputs!$B$16)^Inputs!$B$17-L$12*((1+Inputs!$B$16)^Inputs!$B$17-1)/Inputs!$B$16)</f>
        <v>4579881.25</v>
      </c>
      <c r="M23" s="468">
        <f>IF(Inputs!$B$16=0,M$10-M$12*Inputs!$B$17,M$10*(1+Inputs!$B$16)^Inputs!$B$17-M$12*((1+Inputs!$B$16)^Inputs!$B$17-1)/Inputs!$B$16)</f>
        <v>4310476.470588234</v>
      </c>
      <c r="N23" s="468">
        <f>IF(Inputs!$B$16=0,N$10-N$12*Inputs!$B$17,N$10*(1+Inputs!$B$16)^Inputs!$B$17-N$12*((1+Inputs!$B$16)^Inputs!$B$17-1)/Inputs!$B$16)</f>
        <v>4071005.5555555546</v>
      </c>
      <c r="O23" s="468">
        <f>IF(Inputs!$B$16=0,O$10-O$12*Inputs!$B$17,O$10*(1+Inputs!$B$16)^Inputs!$B$17-O$12*((1+Inputs!$B$16)^Inputs!$B$17-1)/Inputs!$B$16)</f>
        <v>3856742.1052631573</v>
      </c>
      <c r="P23" s="468">
        <f>IF(Inputs!$B$16=0,P$10-P$12*Inputs!$B$17,P$10*(1+Inputs!$B$16)^Inputs!$B$17-P$12*((1+Inputs!$B$16)^Inputs!$B$17-1)/Inputs!$B$16)</f>
        <v>3663905</v>
      </c>
      <c r="Q23" s="468">
        <f>IF(Inputs!$B$16=0,Q$10-Q$12*Inputs!$B$17,Q$10*(1+Inputs!$B$16)^Inputs!$B$17-Q$12*((1+Inputs!$B$16)^Inputs!$B$17-1)/Inputs!$B$16)</f>
        <v>3489433.333333333</v>
      </c>
      <c r="R23" s="468">
        <f>IF(Inputs!$B$16=0,R$10-R$12*Inputs!$B$17,R$10*(1+Inputs!$B$16)^Inputs!$B$17-R$12*((1+Inputs!$B$16)^Inputs!$B$17-1)/Inputs!$B$16)</f>
        <v>3330822.7272727266</v>
      </c>
      <c r="S23" s="468">
        <f>IF(Inputs!$B$16=0,S$10-S$12*Inputs!$B$17,S$10*(1+Inputs!$B$16)^Inputs!$B$17-S$12*((1+Inputs!$B$16)^Inputs!$B$17-1)/Inputs!$B$16)</f>
        <v>3186004.3478260865</v>
      </c>
      <c r="T23" s="468">
        <f>IF(Inputs!$B$16=0,T$10-T$12*Inputs!$B$17,T$10*(1+Inputs!$B$16)^Inputs!$B$17-T$12*((1+Inputs!$B$16)^Inputs!$B$17-1)/Inputs!$B$16)</f>
        <v>3053254.1666666665</v>
      </c>
    </row>
    <row r="24">
      <c r="A24" s="39" t="inlineStr">
        <is>
          <t>Net Sale Proceeds (less disposition cost)</t>
        </is>
      </c>
      <c r="B24" s="468">
        <f>B22*(1-Inputs!$B$19)-B23</f>
        <v>-1919401.5461666323</v>
      </c>
      <c r="C24" s="468">
        <f>C22*(1-Inputs!$B$19)-C23</f>
        <v>357651.51870643906</v>
      </c>
      <c r="D24" s="468">
        <f>D22*(1-Inputs!$B$19)-D23</f>
        <v>2065441.3173612356</v>
      </c>
      <c r="E24" s="468">
        <f>E22*(1-Inputs!$B$19)-E23</f>
        <v>3393722.2718705283</v>
      </c>
      <c r="F24" s="468">
        <f>F22*(1-Inputs!$B$19)-F23</f>
        <v>4456347.035477959</v>
      </c>
      <c r="G24" s="468">
        <f>G22*(1-Inputs!$B$19)-G23</f>
        <v>5325767.296611313</v>
      </c>
      <c r="H24" s="468">
        <f>H22*(1-Inputs!$B$19)-H23</f>
        <v>6050284.180889106</v>
      </c>
      <c r="I24" s="468">
        <f>I22*(1-Inputs!$B$19)-I23</f>
        <v>6663336.929124163</v>
      </c>
      <c r="J24" s="468">
        <f>J22*(1-Inputs!$B$19)-J23</f>
        <v>7188810.713325641</v>
      </c>
      <c r="K24" s="468">
        <f>K22*(1-Inputs!$B$19)-K23</f>
        <v>7644221.326300254</v>
      </c>
      <c r="L24" s="468">
        <f>L22*(1-Inputs!$B$19)-L23</f>
        <v>8042705.612653041</v>
      </c>
      <c r="M24" s="468">
        <f>M22*(1-Inputs!$B$19)-M23</f>
        <v>8394309.394729033</v>
      </c>
      <c r="N24" s="468">
        <f>N22*(1-Inputs!$B$19)-N23</f>
        <v>8706846.089907687</v>
      </c>
      <c r="O24" s="468">
        <f>O22*(1-Inputs!$B$19)-O23</f>
        <v>8986484.185593853</v>
      </c>
      <c r="P24" s="468">
        <f>P22*(1-Inputs!$B$19)-P23</f>
        <v>9238158.4717114</v>
      </c>
      <c r="Q24" s="468">
        <f>Q22*(1-Inputs!$B$19)-Q23</f>
        <v>9465863.778198708</v>
      </c>
      <c r="R24" s="468">
        <f>R22*(1-Inputs!$B$19)-R23</f>
        <v>9672868.602278078</v>
      </c>
      <c r="S24" s="468">
        <f>S22*(1-Inputs!$B$19)-S23</f>
        <v>9861873.006872285</v>
      </c>
      <c r="T24" s="468">
        <f>T22*(1-Inputs!$B$19)-T23</f>
        <v>10035127.044416977</v>
      </c>
    </row>
    <row r="25">
      <c r="A25" s="39" t="inlineStr">
        <is>
          <t>Equity Cash Flow - Year 0</t>
        </is>
      </c>
      <c r="B25" s="468">
        <f>-B11</f>
        <v>-6641165.000000002</v>
      </c>
      <c r="C25" s="468">
        <f>-C11</f>
        <v>-5818655.714285715</v>
      </c>
      <c r="D25" s="468">
        <f>-D11</f>
        <v>-5201773.75</v>
      </c>
      <c r="E25" s="468">
        <f>-E11</f>
        <v>-4721976.666666668</v>
      </c>
      <c r="F25" s="468">
        <f>-F11</f>
        <v>-4338139</v>
      </c>
      <c r="G25" s="468">
        <f>-G11</f>
        <v>-4024090.000000001</v>
      </c>
      <c r="H25" s="468">
        <f>-H11</f>
        <v>-3762382.500000001</v>
      </c>
      <c r="I25" s="468">
        <f>-I11</f>
        <v>-3540937.692307692</v>
      </c>
      <c r="J25" s="468">
        <f>-J11</f>
        <v>-3351127.8571428573</v>
      </c>
      <c r="K25" s="468">
        <f>-K11</f>
        <v>-3186626</v>
      </c>
      <c r="L25" s="468">
        <f>-L11</f>
        <v>-3042686.875</v>
      </c>
      <c r="M25" s="468">
        <f>-M11</f>
        <v>-2915681.7647058824</v>
      </c>
      <c r="N25" s="468">
        <f>-N11</f>
        <v>-2802788.333333334</v>
      </c>
      <c r="O25" s="468">
        <f>-O11</f>
        <v>-2701778.4210526315</v>
      </c>
      <c r="P25" s="468">
        <f>-P11</f>
        <v>-2610869.5</v>
      </c>
      <c r="Q25" s="468">
        <f>-Q11</f>
        <v>-2528618.5714285714</v>
      </c>
      <c r="R25" s="468">
        <f>-R11</f>
        <v>-2453845.0000000005</v>
      </c>
      <c r="S25" s="468">
        <f>-S11</f>
        <v>-2385573.4782608696</v>
      </c>
      <c r="T25" s="468">
        <f>-T11</f>
        <v>-2322991.2500000005</v>
      </c>
    </row>
    <row r="26">
      <c r="A26" s="39" t="inlineStr">
        <is>
          <t>Equity Cash Flow - Year 1</t>
        </is>
      </c>
      <c r="B26" s="468">
        <f>IF(Inputs!$B$17&lt;1,0,B14-B$12+IF(Inputs!$B$17=1,B$24,0))</f>
        <v>-294805.8309583332</v>
      </c>
      <c r="C26" s="468">
        <f>IF(Inputs!$B$17&lt;1,0,C14-C$12+IF(Inputs!$B$17=1,C$24,0))</f>
        <v>-168974.37250595214</v>
      </c>
      <c r="D26" s="468">
        <f>IF(Inputs!$B$17&lt;1,0,D14-D$12+IF(Inputs!$B$17=1,D$24,0))</f>
        <v>-74600.77866666659</v>
      </c>
      <c r="E26" s="468">
        <f>IF(Inputs!$B$17&lt;1,0,E14-E$12+IF(Inputs!$B$17=1,E$24,0))</f>
        <v>-1199.0945694443653</v>
      </c>
      <c r="F26" s="468">
        <f>IF(Inputs!$B$17&lt;1,0,F14-F$12+IF(Inputs!$B$17=1,F$24,0))</f>
        <v>57522.25270833337</v>
      </c>
      <c r="G26" s="468">
        <f>IF(Inputs!$B$17&lt;1,0,G14-G$12+IF(Inputs!$B$17=1,G$24,0))</f>
        <v>105566.99139015155</v>
      </c>
      <c r="H26" s="468">
        <f>IF(Inputs!$B$17&lt;1,0,H14-H$12+IF(Inputs!$B$17=1,H$24,0))</f>
        <v>145604.2736250001</v>
      </c>
      <c r="I26" s="468">
        <f>IF(Inputs!$B$17&lt;1,0,I14-I$12+IF(Inputs!$B$17=1,I$24,0))</f>
        <v>179481.97397756425</v>
      </c>
      <c r="J26" s="468">
        <f>IF(Inputs!$B$17&lt;1,0,J14-J$12+IF(Inputs!$B$17=1,J$24,0))</f>
        <v>208520.00285119063</v>
      </c>
      <c r="K26" s="468">
        <f>IF(Inputs!$B$17&lt;1,0,K14-K$12+IF(Inputs!$B$17=1,K$24,0))</f>
        <v>233686.2945416667</v>
      </c>
      <c r="L26" s="468">
        <f>IF(Inputs!$B$17&lt;1,0,L14-L$12+IF(Inputs!$B$17=1,L$24,0))</f>
        <v>255706.7997708334</v>
      </c>
      <c r="M26" s="468">
        <f>IF(Inputs!$B$17&lt;1,0,M14-M$12+IF(Inputs!$B$17=1,M$24,0))</f>
        <v>275136.65732598054</v>
      </c>
      <c r="N26" s="468">
        <f>IF(Inputs!$B$17&lt;1,0,N14-N$12+IF(Inputs!$B$17=1,N$24,0))</f>
        <v>292407.6418194446</v>
      </c>
      <c r="O26" s="468">
        <f>IF(Inputs!$B$17&lt;1,0,O14-O$12+IF(Inputs!$B$17=1,O$24,0))</f>
        <v>307860.6279451755</v>
      </c>
      <c r="P26" s="468">
        <f>IF(Inputs!$B$17&lt;1,0,P14-P$12+IF(Inputs!$B$17=1,P$24,0))</f>
        <v>321768.31545833335</v>
      </c>
      <c r="Q26" s="468">
        <f>IF(Inputs!$B$17&lt;1,0,Q14-Q$12+IF(Inputs!$B$17=1,Q$24,0))</f>
        <v>334351.4613035715</v>
      </c>
      <c r="R26" s="468">
        <f>IF(Inputs!$B$17&lt;1,0,R14-R$12+IF(Inputs!$B$17=1,R$24,0))</f>
        <v>345790.68479924253</v>
      </c>
      <c r="S26" s="468">
        <f>IF(Inputs!$B$17&lt;1,0,S14-S$12+IF(Inputs!$B$17=1,S$24,0))</f>
        <v>356235.1932083334</v>
      </c>
      <c r="T26" s="468">
        <f>IF(Inputs!$B$17&lt;1,0,T14-T$12+IF(Inputs!$B$17=1,T$24,0))</f>
        <v>365809.32591666677</v>
      </c>
    </row>
    <row r="27">
      <c r="A27" s="39" t="inlineStr">
        <is>
          <t>Equity Cash Flow - Year 2</t>
        </is>
      </c>
      <c r="B27" s="468">
        <f>IF(Inputs!$B$17&lt;2,0,B15-B$12+IF(Inputs!$B$17=2,B$24,0))</f>
        <v>-88631.97793333349</v>
      </c>
      <c r="C27" s="468">
        <f>IF(Inputs!$B$17&lt;2,0,C15-C$12+IF(Inputs!$B$17=2,C$24,0))</f>
        <v>38095.64177261898</v>
      </c>
      <c r="D27" s="468">
        <f>IF(Inputs!$B$17&lt;2,0,D15-D$12+IF(Inputs!$B$17=2,D$24,0))</f>
        <v>133141.35655208316</v>
      </c>
      <c r="E27" s="468">
        <f>IF(Inputs!$B$17&lt;2,0,E15-E$12+IF(Inputs!$B$17=2,E$24,0))</f>
        <v>207065.80138055544</v>
      </c>
      <c r="F27" s="468">
        <f>IF(Inputs!$B$17&lt;2,0,F15-F$12+IF(Inputs!$B$17=2,F$24,0))</f>
        <v>266205.35724333307</v>
      </c>
      <c r="G27" s="468">
        <f>IF(Inputs!$B$17&lt;2,0,G15-G$12+IF(Inputs!$B$17=2,G$24,0))</f>
        <v>314592.2665856059</v>
      </c>
      <c r="H27" s="468">
        <f>IF(Inputs!$B$17&lt;2,0,H15-H$12+IF(Inputs!$B$17=2,H$24,0))</f>
        <v>354914.69103749975</v>
      </c>
      <c r="I27" s="468">
        <f>IF(Inputs!$B$17&lt;2,0,I15-I$12+IF(Inputs!$B$17=2,I$24,0))</f>
        <v>389033.66557371785</v>
      </c>
      <c r="J27" s="468">
        <f>IF(Inputs!$B$17&lt;2,0,J15-J$12+IF(Inputs!$B$17=2,J$24,0))</f>
        <v>418278.5008904761</v>
      </c>
      <c r="K27" s="468">
        <f>IF(Inputs!$B$17&lt;2,0,K15-K$12+IF(Inputs!$B$17=2,K$24,0))</f>
        <v>443624.0248316664</v>
      </c>
      <c r="L27" s="468">
        <f>IF(Inputs!$B$17&lt;2,0,L15-L$12+IF(Inputs!$B$17=2,L$24,0))</f>
        <v>465801.3582802082</v>
      </c>
      <c r="M27" s="468">
        <f>IF(Inputs!$B$17&lt;2,0,M15-M$12+IF(Inputs!$B$17=2,M$24,0))</f>
        <v>485369.5936759802</v>
      </c>
      <c r="N27" s="468">
        <f>IF(Inputs!$B$17&lt;2,0,N15-N$12+IF(Inputs!$B$17=2,N$24,0))</f>
        <v>502763.58069444424</v>
      </c>
      <c r="O27" s="468">
        <f>IF(Inputs!$B$17&lt;2,0,O15-O$12+IF(Inputs!$B$17=2,O$24,0))</f>
        <v>518326.62171096477</v>
      </c>
      <c r="P27" s="468">
        <f>IF(Inputs!$B$17&lt;2,0,P15-P$12+IF(Inputs!$B$17=2,P$24,0))</f>
        <v>532333.3586258331</v>
      </c>
      <c r="Q27" s="468">
        <f>IF(Inputs!$B$17&lt;2,0,Q15-Q$12+IF(Inputs!$B$17=2,Q$24,0))</f>
        <v>545006.1205964283</v>
      </c>
      <c r="R27" s="468">
        <f>IF(Inputs!$B$17&lt;2,0,R15-R$12+IF(Inputs!$B$17=2,R$24,0))</f>
        <v>556526.8132969695</v>
      </c>
      <c r="S27" s="468">
        <f>IF(Inputs!$B$17&lt;2,0,S15-S$12+IF(Inputs!$B$17=2,S$24,0))</f>
        <v>567045.7066322463</v>
      </c>
      <c r="T27" s="468">
        <f>IF(Inputs!$B$17&lt;2,0,T15-T$12+IF(Inputs!$B$17=2,T$24,0))</f>
        <v>576688.0255229165</v>
      </c>
    </row>
    <row r="28" ht="15" customHeight="1" s="234">
      <c r="A28" s="39" t="inlineStr">
        <is>
          <t>Equity Cash Flow - Year 3</t>
        </is>
      </c>
      <c r="B28" s="468">
        <f>IF(Inputs!$B$17&lt;3,0,B16-B$12+IF(Inputs!$B$17=3,B$24,0))</f>
        <v>-58912.577467583</v>
      </c>
      <c r="C28" s="468">
        <f>IF(Inputs!$B$17&lt;3,0,C16-C$12+IF(Inputs!$B$17=3,C$24,0))</f>
        <v>68738.08832954813</v>
      </c>
      <c r="D28" s="468">
        <f>IF(Inputs!$B$17&lt;3,0,D16-D$12+IF(Inputs!$B$17=3,D$24,0))</f>
        <v>164476.08767739614</v>
      </c>
      <c r="E28" s="468">
        <f>IF(Inputs!$B$17&lt;3,0,E16-E$12+IF(Inputs!$B$17=3,E$24,0))</f>
        <v>238938.97605905595</v>
      </c>
      <c r="F28" s="468">
        <f>IF(Inputs!$B$17&lt;3,0,F16-F$12+IF(Inputs!$B$17=3,F$24,0))</f>
        <v>298509.2867643836</v>
      </c>
      <c r="G28" s="468">
        <f>IF(Inputs!$B$17&lt;3,0,G16-G$12+IF(Inputs!$B$17=3,G$24,0))</f>
        <v>347248.6318869246</v>
      </c>
      <c r="H28" s="468">
        <f>IF(Inputs!$B$17&lt;3,0,H16-H$12+IF(Inputs!$B$17=3,H$24,0))</f>
        <v>387864.75282237533</v>
      </c>
      <c r="I28" s="468">
        <f>IF(Inputs!$B$17&lt;3,0,I16-I$12+IF(Inputs!$B$17=3,I$24,0))</f>
        <v>422232.23976775684</v>
      </c>
      <c r="J28" s="468">
        <f>IF(Inputs!$B$17&lt;3,0,J16-J$12+IF(Inputs!$B$17=3,J$24,0))</f>
        <v>451690.0857209409</v>
      </c>
      <c r="K28" s="468">
        <f>IF(Inputs!$B$17&lt;3,0,K16-K$12+IF(Inputs!$B$17=3,K$24,0))</f>
        <v>477220.218880367</v>
      </c>
      <c r="L28" s="468">
        <f>IF(Inputs!$B$17&lt;3,0,L16-L$12+IF(Inputs!$B$17=3,L$24,0))</f>
        <v>499559.0853948649</v>
      </c>
      <c r="M28" s="468">
        <f>IF(Inputs!$B$17&lt;3,0,M16-M$12+IF(Inputs!$B$17=3,M$24,0))</f>
        <v>519269.84996648075</v>
      </c>
      <c r="N28" s="468">
        <f>IF(Inputs!$B$17&lt;3,0,N16-N$12+IF(Inputs!$B$17=3,N$24,0))</f>
        <v>536790.5295856949</v>
      </c>
      <c r="O28" s="468">
        <f>IF(Inputs!$B$17&lt;3,0,O16-O$12+IF(Inputs!$B$17=3,O$24,0))</f>
        <v>552466.9271397283</v>
      </c>
      <c r="P28" s="468">
        <f>IF(Inputs!$B$17&lt;3,0,P16-P$12+IF(Inputs!$B$17=3,P$24,0))</f>
        <v>566575.6849383586</v>
      </c>
      <c r="Q28" s="468">
        <f>IF(Inputs!$B$17&lt;3,0,Q16-Q$12+IF(Inputs!$B$17=3,Q$24,0))</f>
        <v>579340.7515180717</v>
      </c>
      <c r="R28" s="468">
        <f>IF(Inputs!$B$17&lt;3,0,R16-R$12+IF(Inputs!$B$17=3,R$24,0))</f>
        <v>590945.357499629</v>
      </c>
      <c r="S28" s="468">
        <f>IF(Inputs!$B$17&lt;3,0,S16-S$12+IF(Inputs!$B$17=3,S$24,0))</f>
        <v>601540.8673088772</v>
      </c>
      <c r="T28" s="468">
        <f>IF(Inputs!$B$17&lt;3,0,T16-T$12+IF(Inputs!$B$17=3,T$24,0))</f>
        <v>611253.4179673545</v>
      </c>
    </row>
    <row r="29">
      <c r="A29" s="39" t="inlineStr">
        <is>
          <t>Equity Cash Flow - Year 4</t>
        </is>
      </c>
      <c r="B29" s="468">
        <f>IF(Inputs!$B$17&lt;4,0,B17-B$12+IF(Inputs!$B$17=4,B$24,0))</f>
        <v>-40528.47843161051</v>
      </c>
      <c r="C29" s="468">
        <f>IF(Inputs!$B$17&lt;4,0,C17-C$12+IF(Inputs!$B$17=4,C$24,0))</f>
        <v>88072.92483943445</v>
      </c>
      <c r="D29" s="468">
        <f>IF(Inputs!$B$17&lt;4,0,D17-D$12+IF(Inputs!$B$17=4,D$24,0))</f>
        <v>184523.97729271802</v>
      </c>
      <c r="E29" s="468">
        <f>IF(Inputs!$B$17&lt;4,0,E17-E$12+IF(Inputs!$B$17=4,E$24,0))</f>
        <v>259541.46253416088</v>
      </c>
      <c r="F29" s="468">
        <f>IF(Inputs!$B$17&lt;4,0,F17-F$12+IF(Inputs!$B$17=4,F$24,0))</f>
        <v>319555.4507273151</v>
      </c>
      <c r="G29" s="468">
        <f>IF(Inputs!$B$17&lt;4,0,G17-G$12+IF(Inputs!$B$17=4,G$24,0))</f>
        <v>368657.80470353225</v>
      </c>
      <c r="H29" s="468">
        <f>IF(Inputs!$B$17&lt;4,0,H17-H$12+IF(Inputs!$B$17=4,H$24,0))</f>
        <v>409576.4330170466</v>
      </c>
      <c r="I29" s="468">
        <f>IF(Inputs!$B$17&lt;4,0,I17-I$12+IF(Inputs!$B$17=4,I$24,0))</f>
        <v>444199.88774386636</v>
      </c>
      <c r="J29" s="468">
        <f>IF(Inputs!$B$17&lt;4,0,J17-J$12+IF(Inputs!$B$17=4,J$24,0))</f>
        <v>473877.134652569</v>
      </c>
      <c r="K29" s="468">
        <f>IF(Inputs!$B$17&lt;4,0,K17-K$12+IF(Inputs!$B$17=4,K$24,0))</f>
        <v>499597.4153067779</v>
      </c>
      <c r="L29" s="468">
        <f>IF(Inputs!$B$17&lt;4,0,L17-L$12+IF(Inputs!$B$17=4,L$24,0))</f>
        <v>522102.6608792108</v>
      </c>
      <c r="M29" s="468">
        <f>IF(Inputs!$B$17&lt;4,0,M17-M$12+IF(Inputs!$B$17=4,M$24,0))</f>
        <v>541960.2305019457</v>
      </c>
      <c r="N29" s="468">
        <f>IF(Inputs!$B$17&lt;4,0,N17-N$12+IF(Inputs!$B$17=4,N$24,0))</f>
        <v>559611.4034999323</v>
      </c>
      <c r="O29" s="468">
        <f>IF(Inputs!$B$17&lt;4,0,O17-O$12+IF(Inputs!$B$17=4,O$24,0))</f>
        <v>575404.5582876045</v>
      </c>
      <c r="P29" s="468">
        <f>IF(Inputs!$B$17&lt;4,0,P17-P$12+IF(Inputs!$B$17=4,P$24,0))</f>
        <v>589618.3975965093</v>
      </c>
      <c r="Q29" s="468">
        <f>IF(Inputs!$B$17&lt;4,0,Q17-Q$12+IF(Inputs!$B$17=4,Q$24,0))</f>
        <v>602478.5379236138</v>
      </c>
      <c r="R29" s="468">
        <f>IF(Inputs!$B$17&lt;4,0,R17-R$12+IF(Inputs!$B$17=4,R$24,0))</f>
        <v>614169.5745846179</v>
      </c>
      <c r="S29" s="468">
        <f>IF(Inputs!$B$17&lt;4,0,S17-S$12+IF(Inputs!$B$17=4,S$24,0))</f>
        <v>624843.9993620564</v>
      </c>
      <c r="T29" s="468">
        <f>IF(Inputs!$B$17&lt;4,0,T17-T$12+IF(Inputs!$B$17=4,T$24,0))</f>
        <v>634628.8887413751</v>
      </c>
    </row>
    <row r="30">
      <c r="A30" s="39" t="inlineStr">
        <is>
          <t>Equity Cash Flow - Year 5</t>
        </is>
      </c>
      <c r="B30" s="468">
        <f>IF(Inputs!$B$17&lt;5,0,B18-B$12+IF(Inputs!$B$17=5,B$24,0))</f>
        <v>-1940994.4025911917</v>
      </c>
      <c r="C30" s="468">
        <f>IF(Inputs!$B$17&lt;5,0,C18-C$12+IF(Inputs!$B$17=5,C$24,0))</f>
        <v>465639.32515105617</v>
      </c>
      <c r="D30" s="468">
        <f>IF(Inputs!$B$17&lt;5,0,D18-D$12+IF(Inputs!$B$17=5,D$24,0))</f>
        <v>2270614.620957735</v>
      </c>
      <c r="E30" s="468">
        <f>IF(Inputs!$B$17&lt;5,0,E18-E$12+IF(Inputs!$B$17=5,E$24,0))</f>
        <v>3674484.295474047</v>
      </c>
      <c r="F30" s="468">
        <f>IF(Inputs!$B$17&lt;5,0,F18-F$12+IF(Inputs!$B$17=5,F$24,0))</f>
        <v>4797580.035087093</v>
      </c>
      <c r="G30" s="468">
        <f>IF(Inputs!$B$17&lt;5,0,G18-G$12+IF(Inputs!$B$17=5,G$24,0))</f>
        <v>5716476.549315951</v>
      </c>
      <c r="H30" s="468">
        <f>IF(Inputs!$B$17&lt;5,0,H18-H$12+IF(Inputs!$B$17=5,H$24,0))</f>
        <v>6482223.644506664</v>
      </c>
      <c r="I30" s="468">
        <f>IF(Inputs!$B$17&lt;5,0,I18-I$12+IF(Inputs!$B$17=5,I$24,0))</f>
        <v>7130163.494283423</v>
      </c>
      <c r="J30" s="468">
        <f>IF(Inputs!$B$17&lt;5,0,J18-J$12+IF(Inputs!$B$17=5,J$24,0))</f>
        <v>7685540.508377787</v>
      </c>
      <c r="K30" s="468">
        <f>IF(Inputs!$B$17&lt;5,0,K18-K$12+IF(Inputs!$B$17=5,K$24,0))</f>
        <v>8166867.253926235</v>
      </c>
      <c r="L30" s="468">
        <f>IF(Inputs!$B$17&lt;5,0,L18-L$12+IF(Inputs!$B$17=5,L$24,0))</f>
        <v>8588028.156281129</v>
      </c>
      <c r="M30" s="468">
        <f>IF(Inputs!$B$17&lt;5,0,M18-M$12+IF(Inputs!$B$17=5,M$24,0))</f>
        <v>8959640.717182508</v>
      </c>
      <c r="N30" s="468">
        <f>IF(Inputs!$B$17&lt;5,0,N18-N$12+IF(Inputs!$B$17=5,N$24,0))</f>
        <v>9289962.993539283</v>
      </c>
      <c r="O30" s="468">
        <f>IF(Inputs!$B$17&lt;5,0,O18-O$12+IF(Inputs!$B$17=5,O$24,0))</f>
        <v>9585514.503963768</v>
      </c>
      <c r="P30" s="468">
        <f>IF(Inputs!$B$17&lt;5,0,P18-P$12+IF(Inputs!$B$17=5,P$24,0))</f>
        <v>9851510.863345806</v>
      </c>
      <c r="Q30" s="468">
        <f>IF(Inputs!$B$17&lt;5,0,Q18-Q$12+IF(Inputs!$B$17=5,Q$24,0))</f>
        <v>10092174.23612003</v>
      </c>
      <c r="R30" s="468">
        <f>IF(Inputs!$B$17&lt;5,0,R18-R$12+IF(Inputs!$B$17=5,R$24,0))</f>
        <v>10310959.120460235</v>
      </c>
      <c r="S30" s="468">
        <f>IF(Inputs!$B$17&lt;5,0,S18-S$12+IF(Inputs!$B$17=5,S$24,0))</f>
        <v>10510719.232249117</v>
      </c>
      <c r="T30" s="468">
        <f>IF(Inputs!$B$17&lt;5,0,T18-T$12+IF(Inputs!$B$17=5,T$24,0))</f>
        <v>10693832.668055594</v>
      </c>
    </row>
    <row r="31">
      <c r="A31" s="39" t="inlineStr">
        <is>
          <t>Equity Cash Flow - Year 6</t>
        </is>
      </c>
      <c r="B31" s="468">
        <f>IF(Inputs!$B$17&lt;6,0,B19-B$12+IF(Inputs!$B$17=6,B$24,0))</f>
        <v>0</v>
      </c>
      <c r="C31" s="468">
        <f>IF(Inputs!$B$17&lt;6,0,C19-C$12+IF(Inputs!$B$17=6,C$24,0))</f>
        <v>0</v>
      </c>
      <c r="D31" s="468">
        <f>IF(Inputs!$B$17&lt;6,0,D19-D$12+IF(Inputs!$B$17=6,D$24,0))</f>
        <v>0</v>
      </c>
      <c r="E31" s="468">
        <f>IF(Inputs!$B$17&lt;6,0,E19-E$12+IF(Inputs!$B$17=6,E$24,0))</f>
        <v>0</v>
      </c>
      <c r="F31" s="468">
        <f>IF(Inputs!$B$17&lt;6,0,F19-F$12+IF(Inputs!$B$17=6,F$24,0))</f>
        <v>0</v>
      </c>
      <c r="G31" s="468">
        <f>IF(Inputs!$B$17&lt;6,0,G19-G$12+IF(Inputs!$B$17=6,G$24,0))</f>
        <v>0</v>
      </c>
      <c r="H31" s="468">
        <f>IF(Inputs!$B$17&lt;6,0,H19-H$12+IF(Inputs!$B$17=6,H$24,0))</f>
        <v>0</v>
      </c>
      <c r="I31" s="468">
        <f>IF(Inputs!$B$17&lt;6,0,I19-I$12+IF(Inputs!$B$17=6,I$24,0))</f>
        <v>0</v>
      </c>
      <c r="J31" s="468">
        <f>IF(Inputs!$B$17&lt;6,0,J19-J$12+IF(Inputs!$B$17=6,J$24,0))</f>
        <v>0</v>
      </c>
      <c r="K31" s="468">
        <f>IF(Inputs!$B$17&lt;6,0,K19-K$12+IF(Inputs!$B$17=6,K$24,0))</f>
        <v>0</v>
      </c>
      <c r="L31" s="468">
        <f>IF(Inputs!$B$17&lt;6,0,L19-L$12+IF(Inputs!$B$17=6,L$24,0))</f>
        <v>0</v>
      </c>
      <c r="M31" s="468">
        <f>IF(Inputs!$B$17&lt;6,0,M19-M$12+IF(Inputs!$B$17=6,M$24,0))</f>
        <v>0</v>
      </c>
      <c r="N31" s="468">
        <f>IF(Inputs!$B$17&lt;6,0,N19-N$12+IF(Inputs!$B$17=6,N$24,0))</f>
        <v>0</v>
      </c>
      <c r="O31" s="468">
        <f>IF(Inputs!$B$17&lt;6,0,O19-O$12+IF(Inputs!$B$17=6,O$24,0))</f>
        <v>0</v>
      </c>
      <c r="P31" s="468">
        <f>IF(Inputs!$B$17&lt;6,0,P19-P$12+IF(Inputs!$B$17=6,P$24,0))</f>
        <v>0</v>
      </c>
      <c r="Q31" s="468">
        <f>IF(Inputs!$B$17&lt;6,0,Q19-Q$12+IF(Inputs!$B$17=6,Q$24,0))</f>
        <v>0</v>
      </c>
      <c r="R31" s="468">
        <f>IF(Inputs!$B$17&lt;6,0,R19-R$12+IF(Inputs!$B$17=6,R$24,0))</f>
        <v>0</v>
      </c>
      <c r="S31" s="468">
        <f>IF(Inputs!$B$17&lt;6,0,S19-S$12+IF(Inputs!$B$17=6,S$24,0))</f>
        <v>0</v>
      </c>
      <c r="T31" s="468">
        <f>IF(Inputs!$B$17&lt;6,0,T19-T$12+IF(Inputs!$B$17=6,T$24,0))</f>
        <v>0</v>
      </c>
    </row>
    <row r="32">
      <c r="A32" s="39" t="inlineStr">
        <is>
          <t>Equity Cash Flow - Year 7</t>
        </is>
      </c>
      <c r="B32" s="468">
        <f>IF(Inputs!$B$17&lt;7,0,B20-B$12+IF(Inputs!$B$17=7,B$24,0))</f>
        <v>0</v>
      </c>
      <c r="C32" s="468">
        <f>IF(Inputs!$B$17&lt;7,0,C20-C$12+IF(Inputs!$B$17=7,C$24,0))</f>
        <v>0</v>
      </c>
      <c r="D32" s="468">
        <f>IF(Inputs!$B$17&lt;7,0,D20-D$12+IF(Inputs!$B$17=7,D$24,0))</f>
        <v>0</v>
      </c>
      <c r="E32" s="468">
        <f>IF(Inputs!$B$17&lt;7,0,E20-E$12+IF(Inputs!$B$17=7,E$24,0))</f>
        <v>0</v>
      </c>
      <c r="F32" s="468">
        <f>IF(Inputs!$B$17&lt;7,0,F20-F$12+IF(Inputs!$B$17=7,F$24,0))</f>
        <v>0</v>
      </c>
      <c r="G32" s="468">
        <f>IF(Inputs!$B$17&lt;7,0,G20-G$12+IF(Inputs!$B$17=7,G$24,0))</f>
        <v>0</v>
      </c>
      <c r="H32" s="468">
        <f>IF(Inputs!$B$17&lt;7,0,H20-H$12+IF(Inputs!$B$17=7,H$24,0))</f>
        <v>0</v>
      </c>
      <c r="I32" s="468">
        <f>IF(Inputs!$B$17&lt;7,0,I20-I$12+IF(Inputs!$B$17=7,I$24,0))</f>
        <v>0</v>
      </c>
      <c r="J32" s="468">
        <f>IF(Inputs!$B$17&lt;7,0,J20-J$12+IF(Inputs!$B$17=7,J$24,0))</f>
        <v>0</v>
      </c>
      <c r="K32" s="468">
        <f>IF(Inputs!$B$17&lt;7,0,K20-K$12+IF(Inputs!$B$17=7,K$24,0))</f>
        <v>0</v>
      </c>
      <c r="L32" s="468">
        <f>IF(Inputs!$B$17&lt;7,0,L20-L$12+IF(Inputs!$B$17=7,L$24,0))</f>
        <v>0</v>
      </c>
      <c r="M32" s="468">
        <f>IF(Inputs!$B$17&lt;7,0,M20-M$12+IF(Inputs!$B$17=7,M$24,0))</f>
        <v>0</v>
      </c>
      <c r="N32" s="468">
        <f>IF(Inputs!$B$17&lt;7,0,N20-N$12+IF(Inputs!$B$17=7,N$24,0))</f>
        <v>0</v>
      </c>
      <c r="O32" s="468">
        <f>IF(Inputs!$B$17&lt;7,0,O20-O$12+IF(Inputs!$B$17=7,O$24,0))</f>
        <v>0</v>
      </c>
      <c r="P32" s="468">
        <f>IF(Inputs!$B$17&lt;7,0,P20-P$12+IF(Inputs!$B$17=7,P$24,0))</f>
        <v>0</v>
      </c>
      <c r="Q32" s="468">
        <f>IF(Inputs!$B$17&lt;7,0,Q20-Q$12+IF(Inputs!$B$17=7,Q$24,0))</f>
        <v>0</v>
      </c>
      <c r="R32" s="468">
        <f>IF(Inputs!$B$17&lt;7,0,R20-R$12+IF(Inputs!$B$17=7,R$24,0))</f>
        <v>0</v>
      </c>
      <c r="S32" s="468">
        <f>IF(Inputs!$B$17&lt;7,0,S20-S$12+IF(Inputs!$B$17=7,S$24,0))</f>
        <v>0</v>
      </c>
      <c r="T32" s="468">
        <f>IF(Inputs!$B$17&lt;7,0,T20-T$12+IF(Inputs!$B$17=7,T$24,0))</f>
        <v>0</v>
      </c>
    </row>
    <row r="33" ht="15" customHeight="1" s="234">
      <c r="A33" s="39" t="inlineStr">
        <is>
          <t>Equity Cash Flow - Year 8</t>
        </is>
      </c>
      <c r="B33" s="468">
        <f>IF(Inputs!$B$17&lt;8,0,B21-B$12+IF(Inputs!$B$17=8,B$24,0))</f>
        <v>0</v>
      </c>
      <c r="C33" s="468">
        <f>IF(Inputs!$B$17&lt;8,0,C21-C$12+IF(Inputs!$B$17=8,C$24,0))</f>
        <v>0</v>
      </c>
      <c r="D33" s="468">
        <f>IF(Inputs!$B$17&lt;8,0,D21-D$12+IF(Inputs!$B$17=8,D$24,0))</f>
        <v>0</v>
      </c>
      <c r="E33" s="468">
        <f>IF(Inputs!$B$17&lt;8,0,E21-E$12+IF(Inputs!$B$17=8,E$24,0))</f>
        <v>0</v>
      </c>
      <c r="F33" s="468">
        <f>IF(Inputs!$B$17&lt;8,0,F21-F$12+IF(Inputs!$B$17=8,F$24,0))</f>
        <v>0</v>
      </c>
      <c r="G33" s="468">
        <f>IF(Inputs!$B$17&lt;8,0,G21-G$12+IF(Inputs!$B$17=8,G$24,0))</f>
        <v>0</v>
      </c>
      <c r="H33" s="468">
        <f>IF(Inputs!$B$17&lt;8,0,H21-H$12+IF(Inputs!$B$17=8,H$24,0))</f>
        <v>0</v>
      </c>
      <c r="I33" s="468">
        <f>IF(Inputs!$B$17&lt;8,0,I21-I$12+IF(Inputs!$B$17=8,I$24,0))</f>
        <v>0</v>
      </c>
      <c r="J33" s="468">
        <f>IF(Inputs!$B$17&lt;8,0,J21-J$12+IF(Inputs!$B$17=8,J$24,0))</f>
        <v>0</v>
      </c>
      <c r="K33" s="468">
        <f>IF(Inputs!$B$17&lt;8,0,K21-K$12+IF(Inputs!$B$17=8,K$24,0))</f>
        <v>0</v>
      </c>
      <c r="L33" s="468">
        <f>IF(Inputs!$B$17&lt;8,0,L21-L$12+IF(Inputs!$B$17=8,L$24,0))</f>
        <v>0</v>
      </c>
      <c r="M33" s="468">
        <f>IF(Inputs!$B$17&lt;8,0,M21-M$12+IF(Inputs!$B$17=8,M$24,0))</f>
        <v>0</v>
      </c>
      <c r="N33" s="468">
        <f>IF(Inputs!$B$17&lt;8,0,N21-N$12+IF(Inputs!$B$17=8,N$24,0))</f>
        <v>0</v>
      </c>
      <c r="O33" s="468">
        <f>IF(Inputs!$B$17&lt;8,0,O21-O$12+IF(Inputs!$B$17=8,O$24,0))</f>
        <v>0</v>
      </c>
      <c r="P33" s="468">
        <f>IF(Inputs!$B$17&lt;8,0,P21-P$12+IF(Inputs!$B$17=8,P$24,0))</f>
        <v>0</v>
      </c>
      <c r="Q33" s="468">
        <f>IF(Inputs!$B$17&lt;8,0,Q21-Q$12+IF(Inputs!$B$17=8,Q$24,0))</f>
        <v>0</v>
      </c>
      <c r="R33" s="468">
        <f>IF(Inputs!$B$17&lt;8,0,R21-R$12+IF(Inputs!$B$17=8,R$24,0))</f>
        <v>0</v>
      </c>
      <c r="S33" s="468">
        <f>IF(Inputs!$B$17&lt;8,0,S21-S$12+IF(Inputs!$B$17=8,S$24,0))</f>
        <v>0</v>
      </c>
      <c r="T33" s="468">
        <f>IF(Inputs!$B$17&lt;8,0,T21-T$12+IF(Inputs!$B$17=8,T$24,0))</f>
        <v>0</v>
      </c>
    </row>
    <row r="34" ht="15" customHeight="1" s="234">
      <c r="A34" s="39" t="inlineStr">
        <is>
          <t>Levered IRR</t>
        </is>
      </c>
      <c r="B34" s="468">
        <f>IFERROR(IRR(B25:B33),0)</f>
        <v>-1</v>
      </c>
      <c r="C34" s="468">
        <f>IFERROR(IRR(C25:C33),0)</f>
        <v>-0.38054016003966085</v>
      </c>
      <c r="D34" s="468">
        <f>IFERROR(IRR(D25:D33),0)</f>
        <v>-0.12944885149071905</v>
      </c>
      <c r="E34" s="468">
        <f>IFERROR(IRR(E25:E33),0)</f>
        <v>-0.015938833793297746</v>
      </c>
      <c r="F34" s="468">
        <f>IFERROR(IRR(F25:F33),0)</f>
        <v>0.06220647263281043</v>
      </c>
      <c r="G34" s="468">
        <f>IFERROR(IRR(G25:G33),0)</f>
        <v>0.12281180708230366</v>
      </c>
      <c r="H34" s="468">
        <f>IFERROR(IRR(H25:H33),0)</f>
        <v>0.1726761983621754</v>
      </c>
      <c r="I34" s="468">
        <f>IFERROR(IRR(I25:I33),0)</f>
        <v>0.2151897623676946</v>
      </c>
      <c r="J34" s="468">
        <f>IFERROR(IRR(J25:J33),0)</f>
        <v>0.25231069964223085</v>
      </c>
      <c r="K34" s="468">
        <f>IFERROR(IRR(K25:K33),0)</f>
        <v>0.28528238186962507</v>
      </c>
      <c r="L34" s="468">
        <f>IFERROR(IRR(L25:L33),0)</f>
        <v>0.3149485381931685</v>
      </c>
      <c r="M34" s="468">
        <f>IFERROR(IRR(M25:M33),0)</f>
        <v>0.341910682866585</v>
      </c>
      <c r="N34" s="468">
        <f>IFERROR(IRR(N25:N33),0)</f>
        <v>0.3666143380128395</v>
      </c>
      <c r="O34" s="468">
        <f>IFERROR(IRR(O25:O33),0)</f>
        <v>0.389399680620901</v>
      </c>
      <c r="P34" s="468">
        <f>IFERROR(IRR(P25:P33),0)</f>
        <v>0.41053297809049094</v>
      </c>
      <c r="Q34" s="468">
        <f>IFERROR(IRR(Q25:Q33),0)</f>
        <v>0.43022698990237807</v>
      </c>
      <c r="R34" s="468">
        <f>IFERROR(IRR(R25:R33),0)</f>
        <v>0.4486547061215507</v>
      </c>
      <c r="S34" s="468">
        <f>IFERROR(IRR(S25:S33),0)</f>
        <v>0.4659588908279495</v>
      </c>
      <c r="T34" s="468">
        <f>IFERROR(IRR(T25:T33),0)</f>
        <v>0.4822588896393336</v>
      </c>
    </row>
    <row r="35" ht="15" customHeight="1" s="234">
      <c r="A35" s="39" t="inlineStr">
        <is>
          <t>Year 2 Cash-on-Cash</t>
        </is>
      </c>
      <c r="B35" s="468">
        <f>B27/B11</f>
        <v>-0.013345847894659065</v>
      </c>
      <c r="C35" s="468">
        <f>C27/C11</f>
        <v>0.006547155158035591</v>
      </c>
      <c r="D35" s="468">
        <f>D27/D11</f>
        <v>0.025595376298725634</v>
      </c>
      <c r="E35" s="468">
        <f>E27/E11</f>
        <v>0.04385150880610494</v>
      </c>
      <c r="F35" s="468">
        <f>F27/F11</f>
        <v>0.06136395289393288</v>
      </c>
      <c r="G35" s="468">
        <f>G27/G11</f>
        <v>0.07817724419324763</v>
      </c>
      <c r="H35" s="468">
        <f>H27/H11</f>
        <v>0.09433243191980073</v>
      </c>
      <c r="I35" s="468">
        <f>I27/I11</f>
        <v>0.10986741348735163</v>
      </c>
      <c r="J35" s="468">
        <f>J27/J11</f>
        <v>0.12481723130883367</v>
      </c>
      <c r="K35" s="468">
        <f>K27/K11</f>
        <v>0.1392143366782504</v>
      </c>
      <c r="L35" s="468">
        <f>L27/L11</f>
        <v>0.15308882491571144</v>
      </c>
      <c r="M35" s="468">
        <f>M27/M11</f>
        <v>0.1664686453615563</v>
      </c>
      <c r="N35" s="468">
        <f>N27/N11</f>
        <v>0.17937978930307288</v>
      </c>
      <c r="O35" s="468">
        <f>O27/O11</f>
        <v>0.19184645849270687</v>
      </c>
      <c r="P35" s="468">
        <f>P27/P11</f>
        <v>0.20389121655671916</v>
      </c>
      <c r="Q35" s="468">
        <f>Q27/Q11</f>
        <v>0.21553512528721205</v>
      </c>
      <c r="R35" s="468">
        <f>R27/R11</f>
        <v>0.2267978675494864</v>
      </c>
      <c r="S35" s="468">
        <f>S27/S11</f>
        <v>0.23769785831356316</v>
      </c>
      <c r="T35" s="468">
        <f>T27/T11</f>
        <v>0.24825234512739397</v>
      </c>
    </row>
    <row r="36" ht="15" customHeight="1" s="234">
      <c r="A36" s="39" t="inlineStr">
        <is>
          <t>IRR vs Target</t>
        </is>
      </c>
      <c r="B36" s="468" t="str">
        <f>IF(B34&gt;=Inputs!$B$47,"PASS","FLAG")</f>
        <v>FLAG</v>
      </c>
      <c r="C36" s="468" t="str">
        <f>IF(C34&gt;=Inputs!$B$47,"PASS","FLAG")</f>
        <v>FLAG</v>
      </c>
      <c r="D36" s="468" t="str">
        <f>IF(D34&gt;=Inputs!$B$47,"PASS","FLAG")</f>
        <v>FLAG</v>
      </c>
      <c r="E36" s="468" t="str">
        <f>IF(E34&gt;=Inputs!$B$47,"PASS","FLAG")</f>
        <v>FLAG</v>
      </c>
      <c r="F36" s="468" t="str">
        <f>IF(F34&gt;=Inputs!$B$47,"PASS","FLAG")</f>
        <v>FLAG</v>
      </c>
      <c r="G36" s="468" t="str">
        <f>IF(G34&gt;=Inputs!$B$47,"PASS","FLAG")</f>
        <v>FLAG</v>
      </c>
      <c r="H36" s="468" t="str">
        <f>IF(H34&gt;=Inputs!$B$47,"PASS","FLAG")</f>
        <v>PASS</v>
      </c>
      <c r="I36" s="468" t="str">
        <f>IF(I34&gt;=Inputs!$B$47,"PASS","FLAG")</f>
        <v>PASS</v>
      </c>
      <c r="J36" s="468" t="str">
        <f>IF(J34&gt;=Inputs!$B$47,"PASS","FLAG")</f>
        <v>PASS</v>
      </c>
      <c r="K36" s="468" t="str">
        <f>IF(K34&gt;=Inputs!$B$47,"PASS","FLAG")</f>
        <v>PASS</v>
      </c>
      <c r="L36" s="468" t="str">
        <f>IF(L34&gt;=Inputs!$B$47,"PASS","FLAG")</f>
        <v>PASS</v>
      </c>
      <c r="M36" s="468" t="str">
        <f>IF(M34&gt;=Inputs!$B$47,"PASS","FLAG")</f>
        <v>PASS</v>
      </c>
      <c r="N36" s="468" t="str">
        <f>IF(N34&gt;=Inputs!$B$47,"PASS","FLAG")</f>
        <v>PASS</v>
      </c>
      <c r="O36" s="468" t="str">
        <f>IF(O34&gt;=Inputs!$B$47,"PASS","FLAG")</f>
        <v>PASS</v>
      </c>
      <c r="P36" s="468" t="str">
        <f>IF(P34&gt;=Inputs!$B$47,"PASS","FLAG")</f>
        <v>PASS</v>
      </c>
      <c r="Q36" s="468" t="str">
        <f>IF(Q34&gt;=Inputs!$B$47,"PASS","FLAG")</f>
        <v>PASS</v>
      </c>
      <c r="R36" s="468" t="str">
        <f>IF(R34&gt;=Inputs!$B$47,"PASS","FLAG")</f>
        <v>PASS</v>
      </c>
      <c r="S36" s="468" t="str">
        <f>IF(S34&gt;=Inputs!$B$47,"PASS","FLAG")</f>
        <v>PASS</v>
      </c>
      <c r="T36" s="468" t="str">
        <f>IF(T34&gt;=Inputs!$B$47,"PASS","FLAG")</f>
        <v>PASS</v>
      </c>
    </row>
    <row r="37" ht="15" customHeight="1" s="234">
      <c r="A37" s="39" t="inlineStr">
        <is>
          <t>Yr2 CoC vs Target</t>
        </is>
      </c>
      <c r="B37" s="468" t="str">
        <f>IF(B35&gt;=Inputs!$B$48,"PASS","FLAG")</f>
        <v>FLAG</v>
      </c>
      <c r="C37" s="468" t="str">
        <f>IF(C35&gt;=Inputs!$B$48,"PASS","FLAG")</f>
        <v>FLAG</v>
      </c>
      <c r="D37" s="468" t="str">
        <f>IF(D35&gt;=Inputs!$B$48,"PASS","FLAG")</f>
        <v>FLAG</v>
      </c>
      <c r="E37" s="468" t="str">
        <f>IF(E35&gt;=Inputs!$B$48,"PASS","FLAG")</f>
        <v>PASS</v>
      </c>
      <c r="F37" s="468" t="str">
        <f>IF(F35&gt;=Inputs!$B$48,"PASS","FLAG")</f>
        <v>PASS</v>
      </c>
      <c r="G37" s="468" t="str">
        <f>IF(G35&gt;=Inputs!$B$48,"PASS","FLAG")</f>
        <v>PASS</v>
      </c>
      <c r="H37" s="468" t="str">
        <f>IF(H35&gt;=Inputs!$B$48,"PASS","FLAG")</f>
        <v>PASS</v>
      </c>
      <c r="I37" s="468" t="str">
        <f>IF(I35&gt;=Inputs!$B$48,"PASS","FLAG")</f>
        <v>PASS</v>
      </c>
      <c r="J37" s="468" t="str">
        <f>IF(J35&gt;=Inputs!$B$48,"PASS","FLAG")</f>
        <v>PASS</v>
      </c>
      <c r="K37" s="468" t="str">
        <f>IF(K35&gt;=Inputs!$B$48,"PASS","FLAG")</f>
        <v>PASS</v>
      </c>
      <c r="L37" s="468" t="str">
        <f>IF(L35&gt;=Inputs!$B$48,"PASS","FLAG")</f>
        <v>PASS</v>
      </c>
      <c r="M37" s="468" t="str">
        <f>IF(M35&gt;=Inputs!$B$48,"PASS","FLAG")</f>
        <v>PASS</v>
      </c>
      <c r="N37" s="468" t="str">
        <f>IF(N35&gt;=Inputs!$B$48,"PASS","FLAG")</f>
        <v>PASS</v>
      </c>
      <c r="O37" s="468" t="str">
        <f>IF(O35&gt;=Inputs!$B$48,"PASS","FLAG")</f>
        <v>PASS</v>
      </c>
      <c r="P37" s="468" t="str">
        <f>IF(P35&gt;=Inputs!$B$48,"PASS","FLAG")</f>
        <v>PASS</v>
      </c>
      <c r="Q37" s="468" t="str">
        <f>IF(Q35&gt;=Inputs!$B$48,"PASS","FLAG")</f>
        <v>PASS</v>
      </c>
      <c r="R37" s="468" t="str">
        <f>IF(R35&gt;=Inputs!$B$48,"PASS","FLAG")</f>
        <v>PASS</v>
      </c>
      <c r="S37" s="468" t="str">
        <f>IF(S35&gt;=Inputs!$B$48,"PASS","FLAG")</f>
        <v>PASS</v>
      </c>
      <c r="T37" s="468" t="str">
        <f>IF(T35&gt;=Inputs!$B$48,"PASS","FLAG")</f>
        <v>PASS</v>
      </c>
    </row>
    <row r="38" ht="15" customHeight="1" s="234">
      <c r="A38" s="41" t="n"/>
      <c r="B38" s="469" t="n"/>
      <c r="C38" s="248" t="n"/>
      <c r="D38" s="102" t="n"/>
    </row>
    <row r="39" ht="15" customHeight="1" s="234">
      <c r="A39" s="41" t="inlineStr">
        <is>
          <t>SOLVED: MAXIMUM PRICE TO HIT THE IRR TARGET</t>
        </is>
      </c>
      <c r="B39" s="470" t="n"/>
      <c r="C39" s="248" t="n"/>
      <c r="D39" s="102" t="n"/>
    </row>
    <row r="40">
      <c r="A40" t="inlineStr">
        <is>
          <t>Columns failing the target (helper)</t>
        </is>
      </c>
      <c r="B40">
        <f>COUNTIF(B34:T34,"&lt;"&amp;Inputs!$B$47)</f>
        <v>6</v>
      </c>
      <c r="D40" s="468" t="inlineStr">
        <is>
          <t>Counts candidate caps whose IRR is below target; used to bracket the solve.</t>
        </is>
      </c>
    </row>
    <row r="41">
      <c r="A41" s="102" t="inlineStr">
        <is>
          <t>Solved Purchase Cap Rate @ IRR Target</t>
        </is>
      </c>
      <c r="B41" s="248">
        <f>IF(B40=0,"Below 3.00% - not achievable in range",IF(B40&gt;=19,"Above 12.00% - not achievable in range",INDEX(B7:T7,B40)+(INDEX(B7:T7,B40+1)-INDEX(B7:T7,B40))*(Inputs!$B$47-INDEX(B34:T34,B40))/(INDEX(B34:T34,B40+1)-INDEX(B34:T34,B40))))</f>
        <v>0.05872893280788005</v>
      </c>
      <c r="C41" s="248" t="n"/>
      <c r="D41" s="468" t="inlineStr">
        <is>
          <t>Linear interpolation between the two caps bracketing the IRR target; if every column passes, expand the range to lower cap rates.</t>
        </is>
      </c>
    </row>
    <row r="42">
      <c r="A42" t="inlineStr">
        <is>
          <t>Max Purchase Price @ IRR Target</t>
        </is>
      </c>
      <c r="B42">
        <f>IF(ISNUMBER(B41),'T12 Actuals'!$B$23/B41,"-")</f>
        <v>8912387.386848105</v>
      </c>
      <c r="D42" s="468" t="n"/>
    </row>
    <row r="43">
      <c r="A43" t="inlineStr">
        <is>
          <t>Max Price Per Unit</t>
        </is>
      </c>
      <c r="B43">
        <f>IF(ISNUMBER(B42),B42/Inputs!$B$13,"-")</f>
        <v>92837.36861300109</v>
      </c>
      <c r="D43" s="468" t="inlineStr">
        <is>
          <t>Solved price / total units.</t>
        </is>
      </c>
    </row>
    <row r="44">
      <c r="A44" t="inlineStr">
        <is>
          <t>Discount vs Current Cap-Rate Basis</t>
        </is>
      </c>
      <c r="B44">
        <f>IF(ISNUMBER(B42),1-B42/'Debt &amp; Exit'!$B$6,"-")</f>
        <v>-0.05569771211100649</v>
      </c>
      <c r="D44" s="468" t="inlineStr">
        <is>
          <t>How far below the current cap-rate-derived basis the offer must be to clear the IRR target.</t>
        </is>
      </c>
    </row>
    <row r="45">
      <c r="A45" t="inlineStr">
        <is>
          <t>Year 2 Cash-on-Cash at Solved Price</t>
        </is>
      </c>
      <c r="B45">
        <f>IF(ISNUMBER(B41),IF(B40=0,INDEX(B35:T35,1),INDEX(B35:T35,B40)+(INDEX(B35:T35,B40+1)-INDEX(B35:T35,B40))*(Inputs!$B$47-INDEX(B34:T34,B40))/(INDEX(B34:T34,B40+1)-INDEX(B34:T34,B40))),"-")</f>
        <v>0.09022556609944864</v>
      </c>
      <c r="D45" s="468" t="n"/>
    </row>
    <row r="46"/>
    <row r="47">
      <c r="A47" t="inlineStr">
        <is>
          <t>Note: the solver sells in the Inputs hold-period year (Years 1-8 are all modeled). Changing any Inputs assumption re-solves automatically.</t>
        </is>
      </c>
    </row>
  </sheetData>
  <mergeCells count="1">
    <mergeCell ref="A4:H4"/>
  </mergeCells>
  <pageMargins left="0.75" right="0.75" top="1" bottom="1" header="0.5" footer="0.5"/>
</worksheet>
</file>

<file path=xl/worksheets/sheet12.xml><?xml version="1.0" encoding="utf-8"?>
<worksheet xmlns="http://schemas.openxmlformats.org/spreadsheetml/2006/main">
  <sheetPr>
    <tabColor rgb="FF1F6F78"/>
    <outlinePr summaryBelow="1" summaryRight="1"/>
    <pageSetUpPr/>
  </sheetPr>
  <dimension ref="A1:D25"/>
  <sheetViews>
    <sheetView showGridLines="0" workbookViewId="0">
      <selection activeCell="A1" sqref="A1"/>
    </sheetView>
  </sheetViews>
  <sheetFormatPr baseColWidth="8" defaultRowHeight="15"/>
  <cols>
    <col width="44" customWidth="1" style="234" min="1" max="1"/>
    <col width="22" customWidth="1" style="234" min="2" max="2"/>
    <col width="70" customWidth="1" style="234" min="3" max="3"/>
  </cols>
  <sheetData>
    <row r="1" ht="30" customHeight="1" s="234">
      <c r="A1" s="471" t="inlineStr">
        <is>
          <t>Price Tool - pick a purchase cap rate, read the price and the returns</t>
        </is>
      </c>
    </row>
    <row r="3">
      <c r="A3" t="inlineStr">
        <is>
          <t>Purchase cap rate (pick one)</t>
        </is>
      </c>
      <c r="B3" s="472" t="n">
        <v>0.06</v>
      </c>
      <c r="C3" s="473" t="inlineStr">
        <is>
          <t>Click the box and choose from the list. The price is the T12 NOI divided by this cap rate; everything below reprices at it.</t>
        </is>
      </c>
      <c r="D3" s="474">
        <f>MATCH(ROUND($B$3,4),'Max Price Solver'!$B$7:$T$7,0)</f>
        <v>7</v>
      </c>
    </row>
    <row r="5">
      <c r="A5" s="475" t="inlineStr">
        <is>
          <t>Purchase price</t>
        </is>
      </c>
      <c r="B5" s="476">
        <f>IFERROR(INDEX('Max Price Solver'!$B$8:$T$8,$D$3),"n/a")</f>
        <v>8723583.333333334</v>
      </c>
      <c r="C5" s="477" t="inlineStr"/>
    </row>
    <row r="6">
      <c r="A6" s="475" t="inlineStr">
        <is>
          <t>Price per unit</t>
        </is>
      </c>
      <c r="B6" s="478">
        <f>IFERROR(INDEX('Max Price Solver'!$B$9:$T$9,$D$3),"n/a")</f>
        <v>90870.65972222223</v>
      </c>
      <c r="C6" s="477" t="inlineStr"/>
    </row>
    <row r="7">
      <c r="A7" s="475" t="inlineStr">
        <is>
          <t>Loan amount</t>
        </is>
      </c>
      <c r="B7" s="478">
        <f>IFERROR(INDEX('Max Price Solver'!$B$10:$T$10,$D$3),"n/a")</f>
        <v>6106508.333333333</v>
      </c>
      <c r="C7" s="477" t="inlineStr">
        <is>
          <t>at the Inputs tab's loan-to-value</t>
        </is>
      </c>
    </row>
    <row r="8">
      <c r="A8" s="475" t="inlineStr">
        <is>
          <t>Initial equity required</t>
        </is>
      </c>
      <c r="B8" s="478">
        <f>IFERROR(INDEX('Max Price Solver'!$B$11:$T$11,$D$3),"n/a")</f>
        <v>3762382.500000001</v>
      </c>
      <c r="C8" s="477" t="inlineStr">
        <is>
          <t>price + capex + closing costs, less the loan</t>
        </is>
      </c>
    </row>
    <row r="9">
      <c r="A9" s="475" t="inlineStr">
        <is>
          <t>Annual debt service</t>
        </is>
      </c>
      <c r="B9" s="478">
        <f>IFERROR(INDEX('Max Price Solver'!$B$12:$T$12,$D$3),"n/a")</f>
        <v>335857.9583333333</v>
      </c>
      <c r="C9" s="477" t="inlineStr"/>
    </row>
    <row r="10">
      <c r="A10" s="475" t="inlineStr">
        <is>
          <t>Year-1 NOI (tax-adjusted)</t>
        </is>
      </c>
      <c r="B10" s="478">
        <f>IFERROR(INDEX('Max Price Solver'!$B$14:$T$14,$D$3),"n/a")</f>
        <v>481462.2319583334</v>
      </c>
      <c r="C10" s="477" t="inlineStr">
        <is>
          <t>Pro Forma NOI with property tax repriced at this price</t>
        </is>
      </c>
    </row>
    <row r="11">
      <c r="A11" s="475" t="inlineStr">
        <is>
          <t>Year-2 NOI (tax-adjusted)</t>
        </is>
      </c>
      <c r="B11" s="478">
        <f>IFERROR(INDEX('Max Price Solver'!$B$15:$T$15,$D$3),"n/a")</f>
        <v>690772.6493708331</v>
      </c>
      <c r="C11" s="477" t="inlineStr"/>
    </row>
    <row r="12">
      <c r="A12" s="475" t="inlineStr">
        <is>
          <t>Gross exit value</t>
        </is>
      </c>
      <c r="B12" s="478">
        <f>IFERROR(INDEX('Max Price Solver'!$B$22:$T$22,$D$3),"n/a")</f>
        <v>12796623.699181516</v>
      </c>
      <c r="C12" s="477" t="inlineStr">
        <is>
          <t>at the hold-period year</t>
        </is>
      </c>
    </row>
    <row r="13">
      <c r="A13" s="475" t="inlineStr">
        <is>
          <t>Net sale proceeds</t>
        </is>
      </c>
      <c r="B13" s="478">
        <f>IFERROR(INDEX('Max Price Solver'!$B$24:$T$24,$D$3),"n/a")</f>
        <v>6050284.180889106</v>
      </c>
      <c r="C13" s="477" t="inlineStr">
        <is>
          <t>after disposition cost and loan payoff</t>
        </is>
      </c>
    </row>
    <row r="14">
      <c r="A14" s="475" t="inlineStr">
        <is>
          <t>Levered IRR</t>
        </is>
      </c>
      <c r="B14" s="479">
        <f>IFERROR(INDEX('Max Price Solver'!$B$34:$T$34,$D$3),"n/a")</f>
        <v>0.1726761983621754</v>
      </c>
      <c r="C14" s="477" t="inlineStr"/>
    </row>
    <row r="15">
      <c r="A15" s="475" t="inlineStr">
        <is>
          <t>Year-2 cash-on-cash</t>
        </is>
      </c>
      <c r="B15" s="480">
        <f>IFERROR(INDEX('Max Price Solver'!$B$35:$T$35,$D$3),"n/a")</f>
        <v>0.09433243191980073</v>
      </c>
      <c r="C15" s="477" t="inlineStr"/>
    </row>
    <row r="16">
      <c r="A16" s="475" t="inlineStr">
        <is>
          <t>Levered IRR vs target</t>
        </is>
      </c>
      <c r="B16" s="481" t="str">
        <f>IFERROR(INDEX('Max Price Solver'!$B$36:$T$36,$D$3),"n/a")</f>
        <v>PASS</v>
      </c>
      <c r="C16" s="477" t="inlineStr"/>
    </row>
    <row r="17">
      <c r="A17" s="475" t="inlineStr">
        <is>
          <t>Year-2 cash-on-cash vs target</t>
        </is>
      </c>
      <c r="B17" s="481" t="str">
        <f>IFERROR(INDEX('Max Price Solver'!$B$37:$T$37,$D$3),"n/a")</f>
        <v>PASS</v>
      </c>
      <c r="C17" s="477" t="inlineStr"/>
    </row>
    <row r="19">
      <c r="A19" s="482" t="inlineStr">
        <is>
          <t>The price that just hits your IRR target</t>
        </is>
      </c>
      <c r="B19" s="483" t="n"/>
      <c r="C19" s="483" t="n"/>
    </row>
    <row r="20">
      <c r="A20" s="475" t="inlineStr">
        <is>
          <t>Max purchase price at the IRR target</t>
        </is>
      </c>
      <c r="B20" s="484">
        <f>'Max Price Solver'!$B$42</f>
        <v>8912387.386848105</v>
      </c>
      <c r="C20" s="475" t="n"/>
    </row>
    <row r="21">
      <c r="A21" s="475" t="inlineStr">
        <is>
          <t>Max price per unit</t>
        </is>
      </c>
      <c r="B21" s="484">
        <f>'Max Price Solver'!$B$43</f>
        <v>92837.36861300109</v>
      </c>
      <c r="C21" s="475" t="n"/>
    </row>
    <row r="22">
      <c r="A22" s="475" t="inlineStr">
        <is>
          <t>Purchase cap rate that gives it</t>
        </is>
      </c>
      <c r="B22" s="485">
        <f>'Max Price Solver'!$B$41</f>
        <v>0.05872893280788005</v>
      </c>
      <c r="C22" s="475" t="n"/>
    </row>
    <row r="23">
      <c r="A23" s="475" t="inlineStr">
        <is>
          <t>Year-2 cash-on-cash at that price</t>
        </is>
      </c>
      <c r="B23" s="486">
        <f>'Max Price Solver'!$B$45</f>
        <v>0.09022556609944864</v>
      </c>
      <c r="C23" s="475" t="n"/>
    </row>
    <row r="25">
      <c r="A25" s="473" t="inlineStr">
        <is>
          <t>The full grid of 19 cap rates is on the Max Price Solver tab; this tab only reads from it.</t>
        </is>
      </c>
    </row>
  </sheetData>
  <mergeCells count="1">
    <mergeCell ref="A1:C1"/>
  </mergeCells>
  <dataValidations count="1">
    <dataValidation sqref="B3" showDropDown="0" showInputMessage="0" showErrorMessage="0" allowBlank="0" errorTitle="Cap rate" error="Pick a cap rate from the list." type="list">
      <formula1>='Max Price Solver'!$B$7:$T$7</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0"/>
  <sheetViews>
    <sheetView showGridLines="0" zoomScale="90" workbookViewId="0">
      <selection activeCell="A1" sqref="A1:E1"/>
    </sheetView>
  </sheetViews>
  <sheetFormatPr baseColWidth="8" defaultRowHeight="14.25"/>
  <cols>
    <col width="32" customWidth="1" style="234" min="1" max="1"/>
    <col width="16" customWidth="1" style="234" min="2" max="2"/>
    <col width="12" customWidth="1" style="234" min="3" max="3"/>
    <col width="90.625" customWidth="1" style="234" min="4" max="4"/>
    <col width="52" customWidth="1" style="234" min="5" max="5"/>
  </cols>
  <sheetData>
    <row r="1" ht="30" customHeight="1" s="234">
      <c r="A1" s="275" t="inlineStr">
        <is>
          <t>Model Checks and Decision Readiness</t>
        </is>
      </c>
    </row>
    <row r="2" ht="21.95" customFormat="1" customHeight="1" s="248">
      <c r="A2" s="354">
        <f>COUNTIF(B6:B20,"OK")</f>
        <v>12</v>
      </c>
      <c r="B2" s="278">
        <f>COUNTIF(B6:B20,"NEEDS INPUT")</f>
        <v>2</v>
      </c>
      <c r="C2" s="278">
        <f>COUNTIF(B6:B20,"WARN")</f>
        <v>1</v>
      </c>
      <c r="D2" s="278">
        <f>COUNTIF(B6:B20,"PARTIAL")+COUNTIF(B6:B20,"REVIEW")</f>
        <v>0</v>
      </c>
    </row>
    <row r="3" ht="12.95" customFormat="1" customHeight="1" s="248">
      <c r="A3" s="281" t="inlineStr">
        <is>
          <t>OK</t>
        </is>
      </c>
      <c r="B3" s="262" t="inlineStr">
        <is>
          <t>NEEDS INPUT</t>
        </is>
      </c>
      <c r="C3" s="262" t="inlineStr">
        <is>
          <t>WARN</t>
        </is>
      </c>
      <c r="D3" s="262" t="inlineStr">
        <is>
          <t>PARTIAL/REVIEW</t>
        </is>
      </c>
    </row>
    <row r="4" ht="8.1" customHeight="1" s="234"/>
    <row r="5" ht="15" customHeight="1" s="234">
      <c r="A5" s="283" t="inlineStr">
        <is>
          <t>Check</t>
        </is>
      </c>
      <c r="B5" s="283" t="inlineStr">
        <is>
          <t>Result</t>
        </is>
      </c>
      <c r="C5" s="283" t="inlineStr">
        <is>
          <t>Severity</t>
        </is>
      </c>
      <c r="D5" s="283" t="inlineStr">
        <is>
          <t>Notes</t>
        </is>
      </c>
      <c r="E5" s="212" t="n"/>
    </row>
    <row r="6">
      <c r="A6" s="289" t="inlineStr">
        <is>
          <t>Purchase price formula</t>
        </is>
      </c>
      <c r="B6" s="347" t="str">
        <f>IF(Inputs!$B$6&gt;0,"OK (override)",IF(ABS('Debt &amp; Exit'!$B$6-'T12 Actuals'!$B$23/Inputs!$B$14)&lt;1,"OK","WARN"))</f>
        <v>OK</v>
      </c>
      <c r="C6" s="289" t="inlineStr">
        <is>
          <t>High</t>
        </is>
      </c>
      <c r="D6" s="291" t="inlineStr">
        <is>
          <t>Purchase price = T12 NOI / cap, or the manual override on Inputs. OK if formula returns OK.</t>
        </is>
      </c>
      <c r="E6" s="215" t="n"/>
    </row>
    <row r="7">
      <c r="A7" s="289" t="inlineStr">
        <is>
          <t>LTV set to 70%</t>
        </is>
      </c>
      <c r="B7" s="347" t="str">
        <f>IF(Inputs!$B$15=70%,"OK","WARN")</f>
        <v>OK</v>
      </c>
      <c r="C7" s="289" t="inlineStr">
        <is>
          <t>High</t>
        </is>
      </c>
      <c r="D7" s="291" t="inlineStr">
        <is>
          <t>Checks Inputs LTV = 70%. OK if formula returns OK.</t>
        </is>
      </c>
      <c r="E7" s="215" t="n"/>
    </row>
    <row r="8">
      <c r="A8" s="289" t="inlineStr">
        <is>
          <t>Bad debt set to 2%</t>
        </is>
      </c>
      <c r="B8" s="347" t="str">
        <f>IF(Inputs!$B$24=2%,"OK","WARN")</f>
        <v>OK</v>
      </c>
      <c r="C8" s="289" t="inlineStr">
        <is>
          <t>High</t>
        </is>
      </c>
      <c r="D8" s="291" t="inlineStr">
        <is>
          <t>Checks Inputs bad debt = 2%. OK if formula returns OK.</t>
        </is>
      </c>
      <c r="E8" s="215" t="n"/>
    </row>
    <row r="9">
      <c r="A9" s="289" t="inlineStr">
        <is>
          <t>Upfront and exit costs</t>
        </is>
      </c>
      <c r="B9" s="347" t="str">
        <f>IF(AND(Inputs!$B$20=3%,Inputs!$B$19=5%),"OK","WARN")</f>
        <v>OK</v>
      </c>
      <c r="C9" s="289" t="inlineStr">
        <is>
          <t>High</t>
        </is>
      </c>
      <c r="D9" s="291" t="inlineStr">
        <is>
          <t>Checks upfront closing cost is 3% and exit cost is 5%. OK if formula returns OK.</t>
        </is>
      </c>
      <c r="E9" s="215" t="n"/>
    </row>
    <row r="10">
      <c r="A10" s="289" t="inlineStr">
        <is>
          <t>Rent roll unit count tie</t>
        </is>
      </c>
      <c r="B10" s="347" t="str">
        <f>IF('Rent Roll'!$B$11='Rent Roll'!$B$7,"OK","WARN")</f>
        <v>OK</v>
      </c>
      <c r="C10" s="289" t="inlineStr">
        <is>
          <t>Medium</t>
        </is>
      </c>
      <c r="D10" s="291" t="inlineStr">
        <is>
          <t>Checks parsed unit count ties to the official rent roll unit count. If WARN, review rent roll parsing.</t>
        </is>
      </c>
      <c r="E10" s="215" t="n"/>
    </row>
    <row r="11" ht="28.5" customHeight="1" s="234">
      <c r="A11" s="289" t="inlineStr">
        <is>
          <t>Official vs parsed occupied units</t>
        </is>
      </c>
      <c r="B11" s="347" t="str">
        <f>IF('Rent Roll'!$B$12='Rent Roll'!$B$8,"OK","WARN")</f>
        <v>OK</v>
      </c>
      <c r="C11" s="289" t="inlineStr">
        <is>
          <t>Medium</t>
        </is>
      </c>
      <c r="D11" s="291" t="inlineStr">
        <is>
          <t>Compares official occupied count to parsed rent-charge occupied count. Review discrepancy before final.</t>
        </is>
      </c>
      <c r="E11" s="215" t="n"/>
    </row>
    <row r="12" ht="28.5" customHeight="1" s="234">
      <c r="A12" s="289" t="inlineStr">
        <is>
          <t>Property tax modeled</t>
        </is>
      </c>
      <c r="B12" s="347" t="str">
        <f>IF(Tax!$B$22&gt;0,"OK","WARN")</f>
        <v>OK</v>
      </c>
      <c r="C12" s="289" t="inlineStr">
        <is>
          <t>High</t>
        </is>
      </c>
      <c r="D12" s="291" t="inlineStr">
        <is>
          <t>Checks projected Year 1 property tax is nonzero. If only T12 tax is available, replace with county-specific estimate when diligence supports it.</t>
        </is>
      </c>
      <c r="E12" s="215" t="n"/>
    </row>
    <row r="13">
      <c r="A13" s="289" t="inlineStr">
        <is>
          <t>Apartments.com/Zillow rent comps</t>
        </is>
      </c>
      <c r="B13" s="487" t="str">
        <f>IF(COUNTIF('Rent Comps'!$A$7:$A$11,"[Comp*")=5,"NEEDS INPUT",IF(COUNTIF('Rent Comps'!$A$7:$A$11,"[Comp*")&gt;0,"PARTIAL","OK"))</f>
        <v>OK</v>
      </c>
      <c r="C13" s="289" t="inlineStr">
        <is>
          <t>High</t>
        </is>
      </c>
      <c r="D13" s="291" t="inlineStr">
        <is>
          <t>Add OM comp set + online verification on Rent Comps tab. Paste verified comps or support from browser/CoStar.</t>
        </is>
      </c>
      <c r="E13" s="215" t="n"/>
    </row>
    <row r="14">
      <c r="A14" s="289" t="inlineStr">
        <is>
          <t>Sale comps</t>
        </is>
      </c>
      <c r="B14" s="487" t="str">
        <f>IF(COUNTIF('Sale Comps'!$A$6:$A$7,"[Sale comp*")=2,"NEEDS INPUT",IF(COUNTIF('Sale Comps'!$A$6:$A$7,"[Sale comp*")&gt;0,"PARTIAL","OK"))</f>
        <v>OK</v>
      </c>
      <c r="C14" s="289" t="inlineStr">
        <is>
          <t>High</t>
        </is>
      </c>
      <c r="D14" s="291" t="inlineStr">
        <is>
          <t>Add recent comparable sales on Sale Comps tab (CoStar/Crexi/county records). Need 3-5 recent comparable sales.</t>
        </is>
      </c>
      <c r="E14" s="215" t="n"/>
    </row>
    <row r="15">
      <c r="A15" s="289" t="inlineStr">
        <is>
          <t>Debt quote</t>
        </is>
      </c>
      <c r="B15" s="487" t="inlineStr">
        <is>
          <t>NEEDS INPUT</t>
        </is>
      </c>
      <c r="C15" s="289" t="inlineStr">
        <is>
          <t>High</t>
        </is>
      </c>
      <c r="D15" s="291" t="inlineStr">
        <is>
          <t>Interest rate is placeholder until lender quote. Get rate, amortization, IO period, fees, reserves.</t>
        </is>
      </c>
      <c r="E15" s="215" t="n"/>
    </row>
    <row r="16" ht="28.5" customHeight="1" s="234">
      <c r="A16" s="289" t="inlineStr">
        <is>
          <t>Capex scope</t>
        </is>
      </c>
      <c r="B16" s="487" t="inlineStr">
        <is>
          <t>NEEDS INPUT</t>
        </is>
      </c>
      <c r="C16" s="289" t="inlineStr">
        <is>
          <t>High</t>
        </is>
      </c>
      <c r="D16" s="291" t="inlineStr">
        <is>
          <t>Capex budget carried from prior model and needs confirmation. Confirm bids/scope/contingency/timing.</t>
        </is>
      </c>
      <c r="E16" s="215" t="n"/>
    </row>
    <row r="17" ht="27.95" customHeight="1" s="234">
      <c r="A17" s="427" t="inlineStr">
        <is>
          <t>Renovation rent downtime included</t>
        </is>
      </c>
      <c r="B17" s="427" t="str">
        <f>IF('Reno Pace'!$B$115&gt;0,"OK","WARN")</f>
        <v>OK</v>
      </c>
      <c r="C17" s="427" t="inlineStr">
        <is>
          <t>High</t>
        </is>
      </c>
      <c r="D17" s="488" t="inlineStr">
        <is>
          <t>Checks Reno Pace has rent downtime from current average rent and units offline. OK if downtime is greater than zero.</t>
        </is>
      </c>
      <c r="E17" s="253" t="n"/>
    </row>
    <row r="18">
      <c r="A18" s="427" t="inlineStr">
        <is>
          <t>IRR includes sale proceeds</t>
        </is>
      </c>
      <c r="B18" s="427" t="str">
        <f>IF(INDEX('Debt &amp; Exit'!$C$24:$J$24,Inputs!$B$17)&gt;INDEX('Debt &amp; Exit'!$C$22:$J$22,Inputs!$B$17),"OK","WARN")</f>
        <v>OK</v>
      </c>
      <c r="C18" s="427" t="inlineStr">
        <is>
          <t>High</t>
        </is>
      </c>
      <c r="D18" s="488" t="inlineStr">
        <is>
          <t>Checks the exit-year cash flow includes net sale proceeds. OK if sale proceeds land in the Inputs hold-period year.</t>
        </is>
      </c>
      <c r="E18" s="253" t="n"/>
    </row>
    <row r="19">
      <c r="A19" s="427" t="inlineStr">
        <is>
          <t>Hold period inside the modeled range</t>
        </is>
      </c>
      <c r="B19" s="427" t="str">
        <f>IF(AND(Inputs!$B$17&gt;=1,Inputs!$B$17&lt;=8),"OK","WARN")</f>
        <v>OK</v>
      </c>
      <c r="C19" s="427" t="inlineStr">
        <is>
          <t>High</t>
        </is>
      </c>
      <c r="D19" s="488" t="inlineStr">
        <is>
          <t>The pro forma runs Years 1-8. A hold period outside that range leaves the sale unmodeled.</t>
        </is>
      </c>
    </row>
    <row r="20">
      <c r="A20" s="427" t="inlineStr">
        <is>
          <t>Year 1 total opex within house cap</t>
        </is>
      </c>
      <c r="B20" s="427" t="str">
        <f>IF(Inputs!$B$55&lt;=0,"NEEDS INPUT",IF('Pro Forma'!$D$29&lt;='Pro Forma'!$D$15*Inputs!$B$55,"OK","WARN"))</f>
        <v>WARN</v>
      </c>
      <c r="C20" s="427" t="inlineStr">
        <is>
          <t>High</t>
        </is>
      </c>
      <c r="D20" s="488" t="inlineStr">
        <is>
          <t>House ceiling from the 2026-08-10 benchmarks: total operating expenses no more than 50% of effective gross income in Year 1. WARN means the deal is underwritten above the house cap.</t>
        </is>
      </c>
    </row>
  </sheetData>
  <mergeCells count="1">
    <mergeCell ref="A1:E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M39"/>
  <sheetViews>
    <sheetView showGridLines="0" zoomScale="90" workbookViewId="0">
      <selection activeCell="A1" sqref="A1:K1"/>
    </sheetView>
  </sheetViews>
  <sheetFormatPr baseColWidth="8" defaultRowHeight="14.25"/>
  <cols>
    <col width="24" customWidth="1" style="234" min="1" max="2"/>
    <col width="14" customWidth="1" style="234" min="3" max="5"/>
    <col width="18" customWidth="1" style="234" min="6" max="9"/>
    <col width="34" customWidth="1" style="234" min="10" max="10"/>
    <col width="60.625" customWidth="1" style="234" min="11" max="11"/>
    <col width="11.625" customWidth="1" style="234" min="12" max="12"/>
    <col width="14.625" customWidth="1" style="234" min="13" max="13"/>
  </cols>
  <sheetData>
    <row r="1" ht="30" customHeight="1" s="234">
      <c r="A1" s="275" t="inlineStr">
        <is>
          <t>Rent Comps - OM Comp Set + Online Verification, Fairness-Checked (5 total)</t>
        </is>
      </c>
    </row>
    <row r="2" ht="21.95" customFormat="1" customHeight="1" s="248">
      <c r="A2" s="309">
        <f>IF(IFERROR(G6,0)=0,"n/a",G6)</f>
        <v>1086.2172916666668</v>
      </c>
      <c r="B2" s="310">
        <f>IF(IFERROR(G12,0)=0,"n/a",G12)</f>
        <v>1150</v>
      </c>
      <c r="C2" s="311">
        <f>IF(IFERROR(L6,0)=0,"n/a",L6)</f>
        <v>0.9375</v>
      </c>
      <c r="D2" s="311">
        <f>IF(IFERROR(L12,0)=0,"n/a",L12)</f>
        <v>0.938</v>
      </c>
    </row>
    <row r="3" ht="12.95" customFormat="1" customHeight="1" s="248">
      <c r="A3" s="281" t="inlineStr">
        <is>
          <t>SUBJECT ACHIEVED RENT</t>
        </is>
      </c>
      <c r="B3" s="262" t="inlineStr">
        <is>
          <t>COMP SET AVG RENT</t>
        </is>
      </c>
      <c r="C3" s="262" t="inlineStr">
        <is>
          <t>SUBJECT OCCUPANCY</t>
        </is>
      </c>
      <c r="D3" s="262" t="inlineStr">
        <is>
          <t>COMP SET AVG OCCUPANCY</t>
        </is>
      </c>
    </row>
    <row r="4" ht="8.1" customHeight="1" s="234"/>
    <row r="5" ht="30" customHeight="1" s="234">
      <c r="A5" s="283" t="inlineStr">
        <is>
          <t>Property</t>
        </is>
      </c>
      <c r="B5" s="283" t="inlineStr">
        <is>
          <t>Address / Market</t>
        </is>
      </c>
      <c r="C5" s="283" t="inlineStr">
        <is>
          <t>Units</t>
        </is>
      </c>
      <c r="D5" s="283" t="inlineStr">
        <is>
          <t>Year Built / Renovated</t>
        </is>
      </c>
      <c r="E5" s="283" t="inlineStr">
        <is>
          <t>Avg Unit Size SF</t>
        </is>
      </c>
      <c r="F5" s="283" t="inlineStr">
        <is>
          <t>OM Market Rent</t>
        </is>
      </c>
      <c r="G5" s="283" t="inlineStr">
        <is>
          <t>OM Achieved Rent</t>
        </is>
      </c>
      <c r="H5" s="283" t="inlineStr">
        <is>
          <t>OM Rent PSF</t>
        </is>
      </c>
      <c r="I5" s="283" t="inlineStr">
        <is>
          <t>Apartments.com / Zillow Rent</t>
        </is>
      </c>
      <c r="J5" s="283" t="inlineStr">
        <is>
          <t>Source Status</t>
        </is>
      </c>
      <c r="K5" s="283" t="inlineStr">
        <is>
          <t>Notes</t>
        </is>
      </c>
      <c r="L5" t="inlineStr">
        <is>
          <t>Occupancy</t>
        </is>
      </c>
      <c r="M5" t="inlineStr">
        <is>
          <t>Fair Comp?</t>
        </is>
      </c>
    </row>
    <row r="6" ht="30" customFormat="1" customHeight="1" s="248">
      <c r="A6" s="373" t="str">
        <f>Inputs!$B$9&amp;" (subject)"</f>
        <v>Riverbend Apartments (subject)</v>
      </c>
      <c r="B6" s="373" t="str">
        <f>Inputs!$B$10</f>
        <v>4100 Millrace Pointe Drive, Dayton, OH 45415</v>
      </c>
      <c r="C6" s="373">
        <f>Inputs!$B$13</f>
        <v>96</v>
      </c>
      <c r="D6" s="373">
        <f>Inputs!$B$11</f>
        <v>1987</v>
      </c>
      <c r="E6" s="489">
        <f>'Unit Mix'!$B$2</f>
        <v>898.4458333333333</v>
      </c>
      <c r="F6" s="373">
        <f>'Unit Mix'!$C$2</f>
        <v>1136.8231250000001</v>
      </c>
      <c r="G6" s="373">
        <f>'Unit Mix'!$D$2</f>
        <v>1086.2172916666668</v>
      </c>
      <c r="H6" s="373">
        <f>IFERROR('Unit Mix'!$D$2/'Unit Mix'!$B$2,0)</f>
        <v>1.2089958585891378</v>
      </c>
      <c r="I6" s="373" t="inlineStr">
        <is>
          <t>n/a (subject)</t>
        </is>
      </c>
      <c r="J6" s="373" t="inlineStr">
        <is>
          <t>OM p.13/p.68</t>
        </is>
      </c>
      <c r="K6" s="373" t="inlineStr">
        <is>
          <t>Auto-filled from Inputs / Unit Mix.</t>
        </is>
      </c>
      <c r="L6" s="114">
        <f>'Rent Roll'!$B$10</f>
        <v>0.9375</v>
      </c>
      <c r="M6" s="59" t="inlineStr">
        <is>
          <t>-</t>
        </is>
      </c>
    </row>
    <row r="7" ht="28.5" customHeight="1" s="234">
      <c r="A7" s="289" t="inlineStr">
        <is>
          <t>Stillwater Crossing</t>
        </is>
      </c>
      <c r="B7" s="289" t="inlineStr">
        <is>
          <t>Dayton, OH - Northridge</t>
        </is>
      </c>
      <c r="C7" s="490" t="n">
        <v>112</v>
      </c>
      <c r="D7" s="289" t="n">
        <v>1989</v>
      </c>
      <c r="E7" s="490" t="n">
        <v>930</v>
      </c>
      <c r="F7" s="491" t="n">
        <v>1165</v>
      </c>
      <c r="G7" s="491" t="n">
        <v>1130</v>
      </c>
      <c r="H7" s="491" t="n">
        <v>1.22</v>
      </c>
      <c r="I7" s="289" t="n"/>
      <c r="J7" s="289" t="inlineStr">
        <is>
          <t>OM p.9</t>
        </is>
      </c>
      <c r="K7" s="289" t="inlineStr">
        <is>
          <t>Renovated interiors, similar finishes</t>
        </is>
      </c>
      <c r="L7" s="113" t="n">
        <v>0.9399999999999999</v>
      </c>
    </row>
    <row r="8" ht="28.5" customHeight="1" s="234">
      <c r="A8" s="289" t="inlineStr">
        <is>
          <t>The Oaks at Miamisburg Pike</t>
        </is>
      </c>
      <c r="B8" s="289" t="inlineStr">
        <is>
          <t>Miamisburg, OH</t>
        </is>
      </c>
      <c r="C8" s="490" t="n">
        <v>88</v>
      </c>
      <c r="D8" s="289" t="n">
        <v>1985</v>
      </c>
      <c r="E8" s="490" t="n">
        <v>905</v>
      </c>
      <c r="F8" s="491" t="n">
        <v>1140</v>
      </c>
      <c r="G8" s="491" t="n">
        <v>1105</v>
      </c>
      <c r="H8" s="491" t="n">
        <v>1.22</v>
      </c>
      <c r="I8" s="289" t="n"/>
      <c r="J8" s="289" t="inlineStr">
        <is>
          <t>OM p.9</t>
        </is>
      </c>
      <c r="K8" s="289" t="inlineStr">
        <is>
          <t>Partial interior upgrades</t>
        </is>
      </c>
      <c r="L8" s="113" t="n">
        <v>0.95</v>
      </c>
    </row>
    <row r="9" ht="28.5" customHeight="1" s="234">
      <c r="A9" s="289" t="inlineStr">
        <is>
          <t>Kettering Green</t>
        </is>
      </c>
      <c r="B9" s="289" t="inlineStr">
        <is>
          <t>Kettering, OH</t>
        </is>
      </c>
      <c r="C9" s="490" t="n">
        <v>120</v>
      </c>
      <c r="D9" s="289" t="n">
        <v>1991</v>
      </c>
      <c r="E9" s="490" t="n">
        <v>960</v>
      </c>
      <c r="F9" s="491" t="n">
        <v>1235</v>
      </c>
      <c r="G9" s="491" t="n">
        <v>1200</v>
      </c>
      <c r="H9" s="491" t="n">
        <v>1.25</v>
      </c>
      <c r="I9" s="289" t="n"/>
      <c r="J9" s="289" t="inlineStr">
        <is>
          <t>OM p.9</t>
        </is>
      </c>
      <c r="K9" s="289" t="inlineStr">
        <is>
          <t>Fully renovated, pool and fitness</t>
        </is>
      </c>
      <c r="L9" s="113" t="n">
        <v>0.93</v>
      </c>
    </row>
    <row r="10" ht="28.5" customFormat="1" customHeight="1" s="248">
      <c r="A10" s="304" t="inlineStr">
        <is>
          <t>Brookhaven Terrace</t>
        </is>
      </c>
      <c r="B10" s="304" t="inlineStr">
        <is>
          <t>Huber Heights, OH</t>
        </is>
      </c>
      <c r="C10" s="492" t="n">
        <v>104</v>
      </c>
      <c r="D10" s="304" t="n">
        <v>1988</v>
      </c>
      <c r="E10" s="492" t="n">
        <v>915</v>
      </c>
      <c r="F10" s="493" t="n">
        <v>1090</v>
      </c>
      <c r="G10" s="493" t="n">
        <v>1060</v>
      </c>
      <c r="H10" s="493" t="n">
        <v>1.19</v>
      </c>
      <c r="I10" s="304" t="n"/>
      <c r="J10" s="304" t="inlineStr">
        <is>
          <t>OM p.9</t>
        </is>
      </c>
      <c r="K10" s="304" t="inlineStr">
        <is>
          <t>Classic finishes, no renovation</t>
        </is>
      </c>
      <c r="L10" s="142" t="n">
        <v>0.92</v>
      </c>
    </row>
    <row r="11" ht="28.5" customFormat="1" customHeight="1" s="248">
      <c r="A11" s="304" t="inlineStr">
        <is>
          <t>Westbrook Landing</t>
        </is>
      </c>
      <c r="B11" s="304" t="inlineStr">
        <is>
          <t>Centerville, OH</t>
        </is>
      </c>
      <c r="C11" s="492" t="n">
        <v>96</v>
      </c>
      <c r="D11" s="304" t="n">
        <v>1993</v>
      </c>
      <c r="E11" s="492" t="n">
        <v>985</v>
      </c>
      <c r="F11" s="493" t="n">
        <v>1295</v>
      </c>
      <c r="G11" s="493" t="n">
        <v>1255</v>
      </c>
      <c r="H11" s="493" t="n">
        <v>1.28</v>
      </c>
      <c r="I11" s="304" t="n"/>
      <c r="J11" s="304" t="inlineStr">
        <is>
          <t>OM p.9</t>
        </is>
      </c>
      <c r="K11" s="304" t="inlineStr">
        <is>
          <t>Newer vintage, attached garages</t>
        </is>
      </c>
      <c r="L11" s="142" t="n">
        <v>0.95</v>
      </c>
    </row>
    <row r="12" ht="42.75" customHeight="1" s="234">
      <c r="A12" s="494" t="inlineStr">
        <is>
          <t>COMP SET AVERAGE</t>
        </is>
      </c>
      <c r="B12" s="494" t="inlineStr">
        <is>
          <t>-</t>
        </is>
      </c>
      <c r="C12" s="495">
        <f>IFERROR(AVERAGE(C7:C11),0)</f>
        <v>104</v>
      </c>
      <c r="D12" s="494" t="inlineStr">
        <is>
          <t>-</t>
        </is>
      </c>
      <c r="E12" s="495">
        <f>IFERROR(AVERAGE(E7:E11),0)</f>
        <v>939</v>
      </c>
      <c r="F12" s="496">
        <f>IFERROR(AVERAGE(F7:F11),0)</f>
        <v>1185</v>
      </c>
      <c r="G12" s="496">
        <f>IFERROR(AVERAGE(G7:G11),0)</f>
        <v>1150</v>
      </c>
      <c r="H12" s="496">
        <f>IFERROR(AVERAGE(H7:H11),0)</f>
        <v>1.232</v>
      </c>
      <c r="I12" s="494" t="inlineStr">
        <is>
          <t>-</t>
        </is>
      </c>
      <c r="J12" s="494" t="inlineStr">
        <is>
          <t>Calculated</t>
        </is>
      </c>
      <c r="K12" s="494" t="inlineStr">
        <is>
          <t>Average of comps with published figures. Note which comps are OM-sourced vs online-verified, and check year built / unit size / unit count so comparisons are ACTUALLY fair.</t>
        </is>
      </c>
      <c r="L12" s="497">
        <f>IFERROR(AVERAGE(L7:L11),0)</f>
        <v>0.938</v>
      </c>
      <c r="M12" s="271" t="inlineStr">
        <is>
          <t>-</t>
        </is>
      </c>
    </row>
    <row r="13"/>
    <row r="14"/>
    <row r="15"/>
    <row r="16"/>
    <row r="17"/>
    <row r="18"/>
    <row r="19"/>
    <row r="20"/>
    <row r="21"/>
    <row r="22"/>
    <row r="23"/>
    <row r="24"/>
    <row r="25"/>
    <row r="26"/>
    <row r="27"/>
    <row r="28"/>
    <row r="29"/>
    <row r="30"/>
    <row r="31"/>
    <row r="32"/>
    <row r="33"/>
    <row r="34"/>
    <row r="35"/>
    <row r="36"/>
    <row r="37"/>
    <row r="38"/>
    <row r="39"/>
  </sheetData>
  <mergeCells count="1">
    <mergeCell ref="A1:K1"/>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K39"/>
  <sheetViews>
    <sheetView showGridLines="0" zoomScale="90" workbookViewId="0">
      <selection activeCell="A1" sqref="A1"/>
    </sheetView>
  </sheetViews>
  <sheetFormatPr baseColWidth="8" defaultRowHeight="14.25"/>
  <cols>
    <col width="22.625" customWidth="1" style="234" min="1" max="2"/>
    <col width="8.625" customWidth="1" style="234" min="3" max="3"/>
    <col width="14.625" customWidth="1" style="234" min="4" max="4"/>
    <col width="10.625" customWidth="1" style="234" min="5" max="5"/>
    <col width="13.625" customWidth="1" style="234" min="6" max="6"/>
    <col width="11.625" customWidth="1" style="234" min="7" max="7"/>
    <col width="30.625" customWidth="1" style="234" min="8" max="8"/>
    <col width="26.625" customWidth="1" style="234" min="9" max="9"/>
    <col width="11.625" customWidth="1" style="234" min="10" max="10"/>
    <col width="45.625" customWidth="1" style="234" min="11" max="11"/>
    <col width="34" customWidth="1" style="234" min="12" max="12"/>
  </cols>
  <sheetData>
    <row r="1" ht="30" customHeight="1" s="234">
      <c r="A1" s="108" t="inlineStr">
        <is>
          <t>Sale Comps - recent market transactions (auto-searched online + OM when available; verify before relying on them)</t>
        </is>
      </c>
    </row>
    <row r="2" ht="21.95" customFormat="1" customHeight="1" s="248">
      <c r="A2" s="310">
        <f>IF(IFERROR(G12,0)=0,"n/a",G12)</f>
        <v>87939.34811827958</v>
      </c>
      <c r="B2" s="310">
        <f>IF(IFERROR(IFERROR(AVERAGE(G6:G11),0),0)=0,"n/a",IFERROR(AVERAGE(G6:G11),0))</f>
        <v>88504</v>
      </c>
      <c r="C2" s="498">
        <f>IF(IFERROR(G6,0)=0,"n/a",G6)</f>
        <v>85000</v>
      </c>
      <c r="D2" s="311">
        <f>IF(IFERROR(IFERROR(A2/B2-1,0),0)=0,"n/a",IFERROR(A2/B2-1,0))</f>
        <v>-0.0063799588913542316</v>
      </c>
    </row>
    <row r="3" ht="12.95" customFormat="1" customHeight="1" s="248">
      <c r="A3" s="262" t="inlineStr">
        <is>
          <t>SUBJECT PRICE/DOOR (ASK)</t>
        </is>
      </c>
      <c r="B3" s="262" t="inlineStr">
        <is>
          <t>MARKET MEDIAN/DOOR</t>
        </is>
      </c>
      <c r="C3" s="262" t="inlineStr">
        <is>
          <t>BEST COMP $/DOOR</t>
        </is>
      </c>
      <c r="D3" s="262" t="inlineStr">
        <is>
          <t>SUBJECT vs COMP AVG</t>
        </is>
      </c>
    </row>
    <row r="4" ht="8.1" customHeight="1" s="234"/>
    <row r="5" ht="15" customHeight="1" s="234">
      <c r="A5" s="271" t="inlineStr">
        <is>
          <t>Property</t>
        </is>
      </c>
      <c r="B5" s="271" t="inlineStr">
        <is>
          <t>Location</t>
        </is>
      </c>
      <c r="C5" s="271" t="inlineStr">
        <is>
          <t>Units</t>
        </is>
      </c>
      <c r="D5" s="271" t="inlineStr">
        <is>
          <t>Year Built</t>
        </is>
      </c>
      <c r="E5" s="271" t="inlineStr">
        <is>
          <t>Sale Date</t>
        </is>
      </c>
      <c r="F5" s="271" t="inlineStr">
        <is>
          <t>Sale Price</t>
        </is>
      </c>
      <c r="G5" s="271" t="inlineStr">
        <is>
          <t>Price/Unit</t>
        </is>
      </c>
      <c r="H5" s="271" t="inlineStr">
        <is>
          <t>Buyer/Seller</t>
        </is>
      </c>
      <c r="I5" s="271" t="inlineStr">
        <is>
          <t>Source</t>
        </is>
      </c>
      <c r="J5" s="271" t="inlineStr">
        <is>
          <t>Fair Comp?</t>
        </is>
      </c>
      <c r="K5" s="271" t="inlineStr">
        <is>
          <t>Notes</t>
        </is>
      </c>
    </row>
    <row r="6" ht="28.5" customHeight="1" s="234">
      <c r="A6" t="inlineStr">
        <is>
          <t>Stillwater Crossing</t>
        </is>
      </c>
      <c r="B6" t="inlineStr">
        <is>
          <t>Dayton, OH</t>
        </is>
      </c>
      <c r="C6" t="n">
        <v>112</v>
      </c>
      <c r="D6" t="n">
        <v>1989</v>
      </c>
      <c r="E6" t="inlineStr">
        <is>
          <t>2026-03</t>
        </is>
      </c>
      <c r="F6" s="144" t="n">
        <v>9520000</v>
      </c>
      <c r="G6" s="144" t="n">
        <v>85000</v>
      </c>
      <c r="I6" t="inlineStr">
        <is>
          <t>OM p.10</t>
        </is>
      </c>
      <c r="K6" t="inlineStr">
        <is>
          <t>6.4% cap, value-add</t>
        </is>
      </c>
    </row>
    <row r="7" ht="28.5" customHeight="1" s="234">
      <c r="A7" t="inlineStr">
        <is>
          <t>Pine Hollow Apartments</t>
        </is>
      </c>
      <c r="B7" t="inlineStr">
        <is>
          <t>Springboro, OH</t>
        </is>
      </c>
      <c r="C7" t="n">
        <v>80</v>
      </c>
      <c r="D7" t="n">
        <v>1990</v>
      </c>
      <c r="E7" t="inlineStr">
        <is>
          <t>2025-11</t>
        </is>
      </c>
      <c r="F7" t="n">
        <v>7440000</v>
      </c>
      <c r="G7" s="144" t="n">
        <v>93000</v>
      </c>
      <c r="I7" t="inlineStr">
        <is>
          <t>OM p.10</t>
        </is>
      </c>
      <c r="K7" t="inlineStr">
        <is>
          <t>6.1% cap</t>
        </is>
      </c>
    </row>
    <row r="8" ht="28.5" customHeight="1" s="234">
      <c r="A8" t="inlineStr">
        <is>
          <t>Courtyard at Wolf Creek</t>
        </is>
      </c>
      <c r="B8" t="inlineStr">
        <is>
          <t>Trotwood, OH</t>
        </is>
      </c>
      <c r="C8" t="n">
        <v>128</v>
      </c>
      <c r="D8" t="n">
        <v>1984</v>
      </c>
      <c r="E8" t="inlineStr">
        <is>
          <t>2025-09</t>
        </is>
      </c>
      <c r="F8" t="n">
        <v>9730000</v>
      </c>
      <c r="G8" t="n">
        <v>76016</v>
      </c>
      <c r="I8" t="inlineStr">
        <is>
          <t>OM p.10</t>
        </is>
      </c>
      <c r="K8" t="inlineStr">
        <is>
          <t>6.8% cap, light value-add</t>
        </is>
      </c>
    </row>
    <row r="9" ht="28.5" customFormat="1" customHeight="1" s="248">
      <c r="A9" s="248" t="inlineStr">
        <is>
          <t>Kettering Green</t>
        </is>
      </c>
      <c r="B9" t="inlineStr">
        <is>
          <t>Kettering, OH</t>
        </is>
      </c>
      <c r="C9" t="n">
        <v>120</v>
      </c>
      <c r="D9" t="n">
        <v>1991</v>
      </c>
      <c r="E9" t="inlineStr">
        <is>
          <t>2026-06</t>
        </is>
      </c>
      <c r="F9" t="n">
        <v>12000000</v>
      </c>
      <c r="G9" t="n">
        <v>100000</v>
      </c>
      <c r="I9" t="inlineStr">
        <is>
          <t>OM p.10</t>
        </is>
      </c>
      <c r="K9" t="inlineStr">
        <is>
          <t>5.9% cap, renovated</t>
        </is>
      </c>
    </row>
    <row r="10" ht="28.5" customFormat="1" customHeight="1" s="248">
      <c r="A10" s="248" t="n"/>
    </row>
    <row r="11" ht="28.5" customFormat="1" customHeight="1" s="248">
      <c r="A11" s="248" t="n"/>
    </row>
    <row r="12" ht="28.5" customHeight="1" s="234">
      <c r="A12" s="108" t="inlineStr">
        <is>
          <t>Subject (for reference)</t>
        </is>
      </c>
      <c r="B12" s="108" t="str">
        <f>Inputs!$B$10</f>
        <v>4100 Millrace Pointe Drive, Dayton, OH 45415</v>
      </c>
      <c r="C12" s="108">
        <f>Inputs!$B$13</f>
        <v>96</v>
      </c>
      <c r="D12" s="108">
        <f>Inputs!$B$11</f>
        <v>1987</v>
      </c>
      <c r="E12" s="108" t="inlineStr">
        <is>
          <t>Proposed</t>
        </is>
      </c>
      <c r="F12" s="143">
        <f>'Debt &amp; Exit'!$B$6</f>
        <v>8442177.41935484</v>
      </c>
      <c r="G12" s="143">
        <f>'Debt &amp; Exit'!$B$7</f>
        <v>87939.34811827958</v>
      </c>
      <c r="H12" s="108" t="n"/>
      <c r="I12" s="108" t="n"/>
      <c r="J12" s="108" t="n"/>
      <c r="K12" s="108" t="n"/>
    </row>
    <row r="13" ht="28.5" customHeight="1" s="234">
      <c r="A13" t="inlineStr">
        <is>
          <t>2. Free supplemental source: county property records or recorder data can verify a known comp property's recorded sale price/date where available.</t>
        </is>
      </c>
    </row>
    <row r="14" ht="15" customHeight="1" s="234">
      <c r="A14" s="108" t="inlineStr">
        <is>
          <t>3. Broker relationships: ask active multifamily brokers and lenders for recent transaction comps in the subject submarket.</t>
        </is>
      </c>
    </row>
    <row r="15" ht="27.95" customHeight="1" s="234">
      <c r="A15" s="253" t="inlineStr">
        <is>
          <t>4. Public search is a supplement only; full closed-comp pricing, cap rates, buyer/seller, and financing usually require CoStar, Yardi Matrix, Crexi, broker packages, or county records.</t>
        </is>
      </c>
    </row>
    <row r="16" ht="27.95" customHeight="1" s="234">
      <c r="A16" s="253" t="inlineStr">
        <is>
          <t>2. Free check: the county assessor / recorder shows the actual recorded sale price and date for any specific comp property once you know the parcel.</t>
        </is>
      </c>
    </row>
    <row r="17" ht="27.95" customHeight="1" s="234">
      <c r="A17" s="253" t="inlineStr">
        <is>
          <t>3. Broker reports: JLL, Cushman &amp; Wakefield, Northmarq, and Berkadia publish periodic metro multifamily transaction reports (some free) with named recent deals - worth requesting directly.</t>
        </is>
      </c>
    </row>
    <row r="18" ht="27.95" customHeight="1" s="234">
      <c r="A18" s="253" t="inlineStr">
        <is>
          <t>4. Comp rows with a source URL were found by automated public web search - verify each before relying on it; public search cannot reliably surface every recent closed deal.</t>
        </is>
      </c>
    </row>
    <row r="19"/>
    <row r="20"/>
    <row r="21"/>
    <row r="22"/>
    <row r="23"/>
    <row r="24"/>
    <row r="25"/>
    <row r="26"/>
    <row r="27"/>
    <row r="28"/>
    <row r="29"/>
    <row r="30"/>
    <row r="31"/>
    <row r="32"/>
    <row r="33"/>
    <row r="34"/>
    <row r="35"/>
    <row r="36"/>
    <row r="37"/>
    <row r="38"/>
    <row r="39"/>
  </sheetData>
  <mergeCells count="4">
    <mergeCell ref="A16:K16"/>
    <mergeCell ref="A15:K15"/>
    <mergeCell ref="A17:K17"/>
    <mergeCell ref="A18:K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Portfolio Management Dashboard (demo)</dc:creator>
  <dcterms:created xmlns:dcterms="http://purl.org/dc/terms/" xmlns:xsi="http://www.w3.org/2001/XMLSchema-instance" xsi:type="dcterms:W3CDTF">2026-07-08T19:12:15Z</dcterms:created>
  <dcterms:modified xmlns:dcterms="http://purl.org/dc/terms/" xmlns:xsi="http://www.w3.org/2001/XMLSchema-instance" xsi:type="dcterms:W3CDTF">2026-10-27T20:21:59Z</dcterms:modified>
  <cp:lastModifiedBy>Portfolio Management Dashboard (demo)</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0x0101006798D3443DE45F44B789B5156F53BFCE</vt:lpwstr>
  </property>
</Properties>
</file>